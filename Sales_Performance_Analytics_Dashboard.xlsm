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D:\Data analytics practice\excel\"/>
    </mc:Choice>
  </mc:AlternateContent>
  <xr:revisionPtr revIDLastSave="0" documentId="13_ncr:1_{BD7E481E-0BFA-4023-A8D7-DB62D80BA1FF}" xr6:coauthVersionLast="47" xr6:coauthVersionMax="47" xr10:uidLastSave="{00000000-0000-0000-0000-000000000000}"/>
  <bookViews>
    <workbookView xWindow="-110" yWindow="-110" windowWidth="19420" windowHeight="10300" activeTab="1" xr2:uid="{00000000-000D-0000-FFFF-FFFF00000000}"/>
  </bookViews>
  <sheets>
    <sheet name="RAW DATA" sheetId="1" r:id="rId1"/>
    <sheet name="DASHBOARD" sheetId="2"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<sst xmlns="http://schemas.openxmlformats.org/spreadsheetml/2006/main" count="464" uniqueCount="212">
  <si>
    <t>Emp Code</t>
  </si>
  <si>
    <t>Sales Executive</t>
  </si>
  <si>
    <t>Region</t>
  </si>
  <si>
    <t>Day1</t>
  </si>
  <si>
    <t>Day2</t>
  </si>
  <si>
    <t>Day3</t>
  </si>
  <si>
    <t>Day4</t>
  </si>
  <si>
    <t>Day5</t>
  </si>
  <si>
    <t>Total Sales</t>
  </si>
  <si>
    <t>Target</t>
  </si>
  <si>
    <t>Target Hit %</t>
  </si>
  <si>
    <t>Away From Target %</t>
  </si>
  <si>
    <t>PK-SAL001</t>
  </si>
  <si>
    <t>Islamabad</t>
  </si>
  <si>
    <t>PK-SAL002</t>
  </si>
  <si>
    <t>Lahore</t>
  </si>
  <si>
    <t>PK-SAL003</t>
  </si>
  <si>
    <t>Karachi</t>
  </si>
  <si>
    <t>PK-SAL004</t>
  </si>
  <si>
    <t>Rawalpindi</t>
  </si>
  <si>
    <t>PK-SAL005</t>
  </si>
  <si>
    <t>Faisalabad</t>
  </si>
  <si>
    <t>PK-SAL006</t>
  </si>
  <si>
    <t>Peshawar</t>
  </si>
  <si>
    <t>PK-SAL007</t>
  </si>
  <si>
    <t>Multan</t>
  </si>
  <si>
    <t>PK-SAL008</t>
  </si>
  <si>
    <t>Quetta</t>
  </si>
  <si>
    <t>PK-SAL009</t>
  </si>
  <si>
    <t>PK-SAL010</t>
  </si>
  <si>
    <t>PK-SAL011</t>
  </si>
  <si>
    <t>PK-SAL012</t>
  </si>
  <si>
    <t>PK-SAL013</t>
  </si>
  <si>
    <t>PK-SAL014</t>
  </si>
  <si>
    <t>PK-SAL015</t>
  </si>
  <si>
    <t>PK-SAL016</t>
  </si>
  <si>
    <t>PK-SAL017</t>
  </si>
  <si>
    <t>PK-SAL018</t>
  </si>
  <si>
    <t>PK-SAL019</t>
  </si>
  <si>
    <t>PK-SAL020</t>
  </si>
  <si>
    <t>PK-SAL021</t>
  </si>
  <si>
    <t>PK-SAL022</t>
  </si>
  <si>
    <t>PK-SAL023</t>
  </si>
  <si>
    <t>PK-SAL024</t>
  </si>
  <si>
    <t>PK-SAL025</t>
  </si>
  <si>
    <t>PK-SAL026</t>
  </si>
  <si>
    <t>PK-SAL027</t>
  </si>
  <si>
    <t>PK-SAL028</t>
  </si>
  <si>
    <t>PK-SAL029</t>
  </si>
  <si>
    <t>PK-SAL030</t>
  </si>
  <si>
    <t>PK-SAL031</t>
  </si>
  <si>
    <t>PK-SAL032</t>
  </si>
  <si>
    <t>PK-SAL033</t>
  </si>
  <si>
    <t>PK-SAL034</t>
  </si>
  <si>
    <t>PK-SAL035</t>
  </si>
  <si>
    <t>PK-SAL036</t>
  </si>
  <si>
    <t>PK-SAL037</t>
  </si>
  <si>
    <t>PK-SAL038</t>
  </si>
  <si>
    <t>PK-SAL039</t>
  </si>
  <si>
    <t>PK-SAL040</t>
  </si>
  <si>
    <t>PK-SAL041</t>
  </si>
  <si>
    <t>PK-SAL042</t>
  </si>
  <si>
    <t>PK-SAL043</t>
  </si>
  <si>
    <t>PK-SAL044</t>
  </si>
  <si>
    <t>PK-SAL045</t>
  </si>
  <si>
    <t>PK-SAL046</t>
  </si>
  <si>
    <t>PK-SAL047</t>
  </si>
  <si>
    <t>PK-SAL048</t>
  </si>
  <si>
    <t>PK-SAL049</t>
  </si>
  <si>
    <t>PK-SAL050</t>
  </si>
  <si>
    <t>PK-SAL051</t>
  </si>
  <si>
    <t>PK-SAL052</t>
  </si>
  <si>
    <t>PK-SAL053</t>
  </si>
  <si>
    <t>PK-SAL054</t>
  </si>
  <si>
    <t>PK-SAL055</t>
  </si>
  <si>
    <t>PK-SAL056</t>
  </si>
  <si>
    <t>PK-SAL057</t>
  </si>
  <si>
    <t>PK-SAL058</t>
  </si>
  <si>
    <t>PK-SAL059</t>
  </si>
  <si>
    <t>PK-SAL060</t>
  </si>
  <si>
    <t>PK-SAL061</t>
  </si>
  <si>
    <t>PK-SAL062</t>
  </si>
  <si>
    <t>PK-SAL063</t>
  </si>
  <si>
    <t>PK-SAL064</t>
  </si>
  <si>
    <t>PK-SAL065</t>
  </si>
  <si>
    <t>PK-SAL066</t>
  </si>
  <si>
    <t>PK-SAL067</t>
  </si>
  <si>
    <t>PK-SAL068</t>
  </si>
  <si>
    <t>PK-SAL069</t>
  </si>
  <si>
    <t>PK-SAL070</t>
  </si>
  <si>
    <t>PK-SAL071</t>
  </si>
  <si>
    <t>PK-SAL072</t>
  </si>
  <si>
    <t>PK-SAL073</t>
  </si>
  <si>
    <t>PK-SAL074</t>
  </si>
  <si>
    <t>PK-SAL075</t>
  </si>
  <si>
    <t>PK-SAL076</t>
  </si>
  <si>
    <t>PK-SAL077</t>
  </si>
  <si>
    <t>PK-SAL078</t>
  </si>
  <si>
    <t>PK-SAL079</t>
  </si>
  <si>
    <t>PK-SAL080</t>
  </si>
  <si>
    <t>PK-SAL081</t>
  </si>
  <si>
    <t>PK-SAL082</t>
  </si>
  <si>
    <t>PK-SAL083</t>
  </si>
  <si>
    <t>PK-SAL084</t>
  </si>
  <si>
    <t>PK-SAL085</t>
  </si>
  <si>
    <t>PK-SAL086</t>
  </si>
  <si>
    <t>PK-SAL087</t>
  </si>
  <si>
    <t>PK-SAL088</t>
  </si>
  <si>
    <t>PK-SAL089</t>
  </si>
  <si>
    <t>PK-SAL090</t>
  </si>
  <si>
    <t>PK-SAL091</t>
  </si>
  <si>
    <t>PK-SAL092</t>
  </si>
  <si>
    <t>PK-SAL093</t>
  </si>
  <si>
    <t>PK-SAL094</t>
  </si>
  <si>
    <t>PK-SAL095</t>
  </si>
  <si>
    <t>PK-SAL096</t>
  </si>
  <si>
    <t>PK-SAL097</t>
  </si>
  <si>
    <t>PK-SAL098</t>
  </si>
  <si>
    <t>PK-SAL099</t>
  </si>
  <si>
    <t>PK-SAL100</t>
  </si>
  <si>
    <t>PK-SAL101</t>
  </si>
  <si>
    <t>PK-SAL102</t>
  </si>
  <si>
    <t>PK-SAL103</t>
  </si>
  <si>
    <t>PK-SAL104</t>
  </si>
  <si>
    <t>PK-SAL105</t>
  </si>
  <si>
    <t>PK-SAL106</t>
  </si>
  <si>
    <t>PK-SAL107</t>
  </si>
  <si>
    <t>PK-SAL108</t>
  </si>
  <si>
    <t>PK-SAL109</t>
  </si>
  <si>
    <t>PK-SAL110</t>
  </si>
  <si>
    <t>PK-SAL111</t>
  </si>
  <si>
    <t>PK-SAL112</t>
  </si>
  <si>
    <t>PK-SAL113</t>
  </si>
  <si>
    <t>PK-SAL114</t>
  </si>
  <si>
    <t>PK-SAL115</t>
  </si>
  <si>
    <t>PK-SAL116</t>
  </si>
  <si>
    <t>PK-SAL117</t>
  </si>
  <si>
    <t>PK-SAL118</t>
  </si>
  <si>
    <t>PK-SAL119</t>
  </si>
  <si>
    <t>PK-SAL120</t>
  </si>
  <si>
    <t>PK-SAL121</t>
  </si>
  <si>
    <t>PK-SAL122</t>
  </si>
  <si>
    <t>PK-SAL123</t>
  </si>
  <si>
    <t>PK-SAL124</t>
  </si>
  <si>
    <t>PK-SAL125</t>
  </si>
  <si>
    <t>PK-SAL126</t>
  </si>
  <si>
    <t>PK-SAL127</t>
  </si>
  <si>
    <t>PK-SAL128</t>
  </si>
  <si>
    <t>PK-SAL129</t>
  </si>
  <si>
    <t>PK-SAL130</t>
  </si>
  <si>
    <t>PK-SAL131</t>
  </si>
  <si>
    <t>PK-SAL132</t>
  </si>
  <si>
    <t>PK-SAL133</t>
  </si>
  <si>
    <t>PK-SAL134</t>
  </si>
  <si>
    <t>PK-SAL135</t>
  </si>
  <si>
    <t>PK-SAL136</t>
  </si>
  <si>
    <t>PK-SAL137</t>
  </si>
  <si>
    <t>PK-SAL138</t>
  </si>
  <si>
    <t>PK-SAL139</t>
  </si>
  <si>
    <t>PK-SAL140</t>
  </si>
  <si>
    <t>PK-SAL141</t>
  </si>
  <si>
    <t>Row Labels</t>
  </si>
  <si>
    <t xml:space="preserve">Total Sales </t>
  </si>
  <si>
    <t>Mehwish Tariq</t>
  </si>
  <si>
    <t>Nimra Yousaf</t>
  </si>
  <si>
    <t>Rameez Khan</t>
  </si>
  <si>
    <t>Anum Tariq</t>
  </si>
  <si>
    <t>Iqra Noman</t>
  </si>
  <si>
    <t>Taha Imran</t>
  </si>
  <si>
    <t>Shayan Ahmed</t>
  </si>
  <si>
    <t>Komal Shah</t>
  </si>
  <si>
    <t>Salman Butt</t>
  </si>
  <si>
    <t>Sidra Javed</t>
  </si>
  <si>
    <t>Hina Arshad</t>
  </si>
  <si>
    <t>Asad Ullah</t>
  </si>
  <si>
    <t>Waleed Khan</t>
  </si>
  <si>
    <t>Owais Malik</t>
  </si>
  <si>
    <t>Abdullah Qureshi</t>
  </si>
  <si>
    <t>Maham Iqbal</t>
  </si>
  <si>
    <t>Kiran Akram</t>
  </si>
  <si>
    <t>Arooj Fatima</t>
  </si>
  <si>
    <t>Shahzaib Ali</t>
  </si>
  <si>
    <t>Rizwan Ahmed</t>
  </si>
  <si>
    <t>Zoya Sheikh</t>
  </si>
  <si>
    <t>Hamza Iqbal</t>
  </si>
  <si>
    <t>Minal Fatima</t>
  </si>
  <si>
    <t>Sana Javed</t>
  </si>
  <si>
    <t>Arham Raza</t>
  </si>
  <si>
    <t>Yasir Mehmood</t>
  </si>
  <si>
    <t>Muneeb Aslam</t>
  </si>
  <si>
    <t>Talha Siddiqui</t>
  </si>
  <si>
    <t>Areeba Hassan</t>
  </si>
  <si>
    <t>Usman Khalid</t>
  </si>
  <si>
    <t>Eman Zahid</t>
  </si>
  <si>
    <t>Saif Ullah</t>
  </si>
  <si>
    <t>Fahad Sheikh</t>
  </si>
  <si>
    <t>Sehrish Khan</t>
  </si>
  <si>
    <t>Huzaifa Rehman</t>
  </si>
  <si>
    <t>Saira Abbas</t>
  </si>
  <si>
    <t>Hassan Raza</t>
  </si>
  <si>
    <t>Faisal Nawaz</t>
  </si>
  <si>
    <t>Danish Rauf</t>
  </si>
  <si>
    <t>Alina Khalid</t>
  </si>
  <si>
    <t>Rabia Khalid</t>
  </si>
  <si>
    <t>Adeel Hussain</t>
  </si>
  <si>
    <t>Maha Asif</t>
  </si>
  <si>
    <t>Hafsa Ahmed</t>
  </si>
  <si>
    <t>Minahil Raza</t>
  </si>
  <si>
    <t>Iqra Nadeem</t>
  </si>
  <si>
    <t>Sum of Target Hit %</t>
  </si>
  <si>
    <t xml:space="preserve"> Away From Target %</t>
  </si>
  <si>
    <t xml:space="preserve">                                                         SALES ANALYTICS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</si>
</sst>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rgb="FF000000"/>
      <name val="Calibri"/>
      <family val="2"/>
      <scheme val="minor"/>
    </font>
    <font>
      <sz val="11"/>
      <color theme="0" tint="-0.14999847407452621"/>
      <name val="Calibri"/>
      <family val="2"/>
      <scheme val="minor"/>
    </font>
    <font>
      <sz val="8"/>
      <color rgb="FF000000"/>
      <name val="Segoe UI"/>
      <family val="2"/>
    </font>
    <font>
      <sz val="20"/>
      <color theme="2" tint="-0.749992370372631"/>
      <name val="Aharoni"/>
      <charset val="177"/>
    </font>
    <font>
      <sz val="11"/>
      <color theme="2" tint="-0.749992370372631"/>
      <name val="Calibri"/>
      <family val="2"/>
      <scheme val="minor"/>
    </font>
  </fonts>
  <fills count="6">
    <fill>
      <patternFill patternType="none"/>
    </fill>
    <fill>
      <patternFill patternType="gray125"/>
    </fill>
    <fill>
      <patternFill patternType="solid">
        <fgColor theme="5" tint="0.399975585192419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6"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10" fontId="0" fillId="0" borderId="0" xfId="0" applyNumberFormat="1"/>
    <xf numFmtId="0" fontId="0" fillId="3" borderId="1" xfId="0" applyFill="1" applyBorder="1"/>
    <xf numFmtId="10" fontId="0" fillId="3" borderId="1" xfId="0" applyNumberFormat="1" applyFill="1" applyBorder="1"/>
    <xf numFmtId="0" fontId="0" fillId="0" borderId="0" xfId="0" pivotButton="1"/>
    <xf numFmtId="0" fontId="0" fillId="0" borderId="0" xfId="0" applyAlignment="1">
      <alignment horizontal="left"/>
    </xf>
    <xf numFmtId="0" fontId="1" fillId="0" borderId="0" xfId="0" applyFont="1"/>
    <xf numFmtId="0" fontId="0" fillId="2" borderId="1" xfId="0" applyFill="1" applyBorder="1"/>
    <xf numFmtId="0" fontId="1" fillId="2" borderId="1" xfId="0" applyFont="1" applyFill="1" applyBorder="1"/>
    <xf numFmtId="0" fontId="1" fillId="3" borderId="1" xfId="0" applyFont="1" applyFill="1" applyBorder="1"/>
    <xf numFmtId="0" fontId="0" fillId="4" borderId="0" xfId="0" applyFill="1"/>
    <xf numFmtId="0" fontId="2" fillId="4" borderId="0" xfId="0" applyFont="1" applyFill="1"/>
    <xf numFmtId="0" fontId="5" fillId="4" borderId="0" xfId="0" applyFont="1" applyFill="1"/>
    <xf numFmtId="0" fontId="4" fillId="5" borderId="0" xfId="0" applyFont="1" applyFill="1"/>
    <xf numFmtId="0" fontId="0" fillId="0" borderId="0" xfId="0" applyNumberFormat="1"/>
  </cellXfs>
  <cellStyles count="1">
    <cellStyle name="Normal" xfId="0" builtinId="0"/>
  </cellStyles>
  <dxfs count="1">
    <dxf>
      <fill>
        <patternFill>
          <bgColor theme="0" tint="-0.14996795556505021"/>
        </patternFill>
      </fill>
    </dxf>
  </dxfs>
  <tableStyles count="1" defaultTableStyle="TableStyleMedium9" defaultPivotStyle="PivotStyleLight16">
    <tableStyle name="Slicer Style 1" pivot="0" table="0" count="7" xr9:uid="{6E93A018-2E7D-472A-8DC4-95A1D33CE4C0}">
      <tableStyleElement type="wholeTable" dxfId="0"/>
    </tableStyle>
  </tableStyles>
  <extLst>
    <ext xmlns:x14="http://schemas.microsoft.com/office/spreadsheetml/2009/9/main" uri="{46F421CA-312F-682f-3DD2-61675219B42D}">
      <x14:dxfs count="6">
        <dxf>
          <fill>
            <patternFill>
              <bgColor theme="4" tint="0.79998168889431442"/>
            </patternFill>
          </fill>
        </dxf>
        <dxf>
          <fill>
            <patternFill>
              <bgColor theme="2" tint="-0.24994659260841701"/>
            </patternFill>
          </fill>
        </dxf>
        <dxf>
          <fill>
            <patternFill>
              <bgColor theme="0" tint="-0.34998626667073579"/>
            </patternFill>
          </fill>
        </dxf>
        <dxf>
          <fill>
            <patternFill>
              <bgColor theme="5" tint="0.79998168889431442"/>
            </patternFill>
          </fill>
        </dxf>
        <dxf>
          <fill>
            <patternFill>
              <bgColor theme="2" tint="-0.24994659260841701"/>
            </patternFill>
          </fill>
        </dxf>
        <dxf>
          <fill>
            <patternFill>
              <bgColor theme="0" tint="-0.3499862666707357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microsoft.com/office/2007/relationships/slicerCache" Target="slicerCaches/slicerCache1.xml"/><Relationship Id="rId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[Sales_Target_Dashboard.xlsm]DASHBOARD!PivotTable2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barChart>
        <c:barDir val="bar"/>
        <c:grouping val="clustered"/>
        <c:varyColors val="0"/>
        <c:ser>
          <c:idx val="0"/>
          <c:order val="0"/>
          <c:tx>
            <c:strRef>
              <c:f>DASHBOARD!$B$4</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DASHBOARD!$A$5:$A$9</c:f>
              <c:strCache>
                <c:ptCount val="5"/>
                <c:pt idx="0">
                  <c:v>Minal Fatima</c:v>
                </c:pt>
                <c:pt idx="1">
                  <c:v>Sana Javed</c:v>
                </c:pt>
                <c:pt idx="2">
                  <c:v>Saira Abbas</c:v>
                </c:pt>
                <c:pt idx="3">
                  <c:v>Hassan Raza</c:v>
                </c:pt>
                <c:pt idx="4">
                  <c:v>Alina Khalid</c:v>
                </c:pt>
              </c:strCache>
            </c:strRef>
          </c:cat>
          <c:val>
            <c:numRef>
              <c:f>DASHBOARD!$B$5:$B$9</c:f>
              <c:numCache>
                <c:formatCode>General</c:formatCode>
                <c:ptCount val="5"/>
                <c:pt idx="0">
                  <c:v>296</c:v>
                </c:pt>
                <c:pt idx="1">
                  <c:v>298</c:v>
                </c:pt>
                <c:pt idx="2">
                  <c:v>464</c:v>
                </c:pt>
                <c:pt idx="3">
                  <c:v>310</c:v>
                </c:pt>
                <c:pt idx="4">
                  <c:v>556</c:v>
                </c:pt>
              </c:numCache>
            </c:numRef>
          </c:val>
          <c:extLst>
            <c:ext xmlns:c16="http://schemas.microsoft.com/office/drawing/2014/chart" uri="{C3380CC4-5D6E-409C-BE32-E72D297353CC}">
              <c16:uniqueId val="{00000000-42CB-41D0-B77D-1E4A6464E0FB}"/>
            </c:ext>
          </c:extLst>
        </c:ser>
        <c:dLbls>
          <c:dLblPos val="inEnd"/>
          <c:showLegendKey val="0"/>
          <c:showVal val="1"/>
          <c:showCatName val="0"/>
          <c:showSerName val="0"/>
          <c:showPercent val="0"/>
          <c:showBubbleSize val="0"/>
        </c:dLbls>
        <c:gapWidth val="65"/>
        <c:axId val="1577637087"/>
        <c:axId val="1577645727"/>
      </c:barChart>
      <c:catAx>
        <c:axId val="1577637087"/>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77645727"/>
        <c:crosses val="autoZero"/>
        <c:auto val="1"/>
        <c:lblAlgn val="ctr"/>
        <c:lblOffset val="100"/>
        <c:noMultiLvlLbl val="0"/>
      </c:catAx>
      <c:valAx>
        <c:axId val="15776457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77637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26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[Sales_Target_Dashboard.xlsm]DASHBOARD!PivotTable4</c:name>
    <c:fmtId val="0"/>
  </c:pivotSource>
  <c:chart>
    <c:autoTitleDeleted val="1"/>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6E7-4915-A28A-8432C253F1C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6E7-4915-A28A-8432C253F1C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6E7-4915-A28A-8432C253F1C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6E7-4915-A28A-8432C253F1C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6E7-4915-A28A-8432C253F1C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DASHBOARD!$G$5:$G$9</c:f>
              <c:strCache>
                <c:ptCount val="5"/>
                <c:pt idx="0">
                  <c:v>Alina Khalid</c:v>
                </c:pt>
                <c:pt idx="1">
                  <c:v>Hassan Raza</c:v>
                </c:pt>
                <c:pt idx="2">
                  <c:v>Minal Fatima</c:v>
                </c:pt>
                <c:pt idx="3">
                  <c:v>Saira Abbas</c:v>
                </c:pt>
                <c:pt idx="4">
                  <c:v>Sana Javed</c:v>
                </c:pt>
              </c:strCache>
            </c:strRef>
          </c:cat>
          <c:val>
            <c:numRef>
              <c:f>DASHBOARD!$H$5:$H$9</c:f>
              <c:numCache>
                <c:formatCode>0.00%</c:formatCode>
                <c:ptCount val="5"/>
                <c:pt idx="0">
                  <c:v>1.214</c:v>
                </c:pt>
                <c:pt idx="1">
                  <c:v>0.92894736842105263</c:v>
                </c:pt>
                <c:pt idx="2">
                  <c:v>0.68</c:v>
                </c:pt>
                <c:pt idx="3">
                  <c:v>1.2884210526315789</c:v>
                </c:pt>
                <c:pt idx="4">
                  <c:v>0.65904761904761899</c:v>
                </c:pt>
              </c:numCache>
            </c:numRef>
          </c:val>
          <c:extLst>
            <c:ext xmlns:c16="http://schemas.microsoft.com/office/drawing/2014/chart" uri="{C3380CC4-5D6E-409C-BE32-E72D297353CC}">
              <c16:uniqueId val="{00000000-933D-405F-9FC8-7EAEDB097E5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049281844402878"/>
          <c:y val="0.48151481024006626"/>
          <c:w val="0.29567368067055189"/>
          <c:h val="0.5095425666043130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[Sales_Target_Dashboard.xlsm]DASHBOARD!PivotTable5</c:name>
    <c:fmtId val="20"/>
  </c:pivotSource>
  <c:chart>
    <c:autoTitleDeleted val="1"/>
    <c:pivotFmts>
      <c:pivotFmt>
        <c:idx val="0"/>
        <c:spPr>
          <a:ln w="25400" cap="flat" cmpd="sng" algn="ctr">
            <a:solidFill>
              <a:schemeClr val="accent1"/>
            </a:solidFill>
            <a:prstDash val="solid"/>
            <a:round/>
          </a:ln>
          <a:effectLst/>
        </c:spPr>
        <c:marker>
          <c:symbol val="circle"/>
          <c:size val="6"/>
          <c:spPr>
            <a:solidFill>
              <a:schemeClr val="lt1"/>
            </a:solidFill>
            <a:ln w="25400" cap="flat" cmpd="sng" algn="ctr">
              <a:solidFill>
                <a:schemeClr val="accent1"/>
              </a:solidFill>
              <a:prstDash val="solid"/>
              <a:round/>
            </a:ln>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777600328951405E-2"/>
          <c:y val="5.8714106431821449E-2"/>
          <c:w val="0.9480559991776214"/>
          <c:h val="0.81575193234933496"/>
        </c:manualLayout>
      </c:layout>
      <c:lineChart>
        <c:grouping val="standard"/>
        <c:varyColors val="0"/>
        <c:ser>
          <c:idx val="0"/>
          <c:order val="0"/>
          <c:tx>
            <c:strRef>
              <c:f>DASHBOARD!$K$4</c:f>
              <c:strCache>
                <c:ptCount val="1"/>
                <c:pt idx="0">
                  <c:v>Total</c:v>
                </c:pt>
              </c:strCache>
            </c:strRef>
          </c:tx>
          <c:spPr>
            <a:ln w="25400" cap="flat" cmpd="sng" algn="ctr">
              <a:solidFill>
                <a:schemeClr val="accent1"/>
              </a:solidFill>
              <a:prstDash val="solid"/>
              <a:round/>
            </a:ln>
            <a:effectLst/>
          </c:spPr>
          <c:marker>
            <c:symbol val="circle"/>
            <c:size val="6"/>
            <c:spPr>
              <a:solidFill>
                <a:schemeClr val="lt1"/>
              </a:solidFill>
              <a:ln w="25400" cap="flat" cmpd="sng" algn="ctr">
                <a:solidFill>
                  <a:schemeClr val="accent1"/>
                </a:solidFill>
                <a:prstDash val="solid"/>
                <a:round/>
              </a:ln>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DASHBOARD!$J$5:$J$9</c:f>
              <c:strCache>
                <c:ptCount val="5"/>
                <c:pt idx="0">
                  <c:v>Adeel Hussain</c:v>
                </c:pt>
                <c:pt idx="1">
                  <c:v>Alina Khalid</c:v>
                </c:pt>
                <c:pt idx="2">
                  <c:v>Hassan Raza</c:v>
                </c:pt>
                <c:pt idx="3">
                  <c:v>Kiran Akram</c:v>
                </c:pt>
                <c:pt idx="4">
                  <c:v>Saira Abbas</c:v>
                </c:pt>
              </c:strCache>
            </c:strRef>
          </c:cat>
          <c:val>
            <c:numRef>
              <c:f>DASHBOARD!$K$5:$K$9</c:f>
              <c:numCache>
                <c:formatCode>0.00%</c:formatCode>
                <c:ptCount val="5"/>
                <c:pt idx="0">
                  <c:v>0.59799999999999998</c:v>
                </c:pt>
                <c:pt idx="1">
                  <c:v>0.78600000000000003</c:v>
                </c:pt>
                <c:pt idx="2">
                  <c:v>1.0710526315789473</c:v>
                </c:pt>
                <c:pt idx="3">
                  <c:v>0.63800000000000001</c:v>
                </c:pt>
                <c:pt idx="4">
                  <c:v>0.71157894736842109</c:v>
                </c:pt>
              </c:numCache>
            </c:numRef>
          </c:val>
          <c:smooth val="0"/>
          <c:extLst>
            <c:ext xmlns:c16="http://schemas.microsoft.com/office/drawing/2014/chart" uri="{C3380CC4-5D6E-409C-BE32-E72D297353CC}">
              <c16:uniqueId val="{00000000-3CE7-4430-A616-801ED38D33E6}"/>
            </c:ext>
          </c:extLst>
        </c:ser>
        <c:dLbls>
          <c:dLblPos val="b"/>
          <c:showLegendKey val="0"/>
          <c:showVal val="1"/>
          <c:showCatName val="0"/>
          <c:showSerName val="0"/>
          <c:showPercent val="0"/>
          <c:showBubbleSize val="0"/>
        </c:dLbls>
        <c:marker val="1"/>
        <c:smooth val="0"/>
        <c:axId val="1577615967"/>
        <c:axId val="1577640927"/>
      </c:lineChart>
      <c:catAx>
        <c:axId val="157761596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77640927"/>
        <c:crosses val="autoZero"/>
        <c:auto val="1"/>
        <c:lblAlgn val="ctr"/>
        <c:lblOffset val="100"/>
        <c:noMultiLvlLbl val="0"/>
      </c:catAx>
      <c:valAx>
        <c:axId val="1577640927"/>
        <c:scaling>
          <c:orientation val="minMax"/>
        </c:scaling>
        <c:delete val="1"/>
        <c:axPos val="l"/>
        <c:numFmt formatCode="0.00%" sourceLinked="1"/>
        <c:majorTickMark val="none"/>
        <c:minorTickMark val="none"/>
        <c:tickLblPos val="nextTo"/>
        <c:crossAx val="1577615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75108</xdr:rowOff>
    </xdr:from>
    <xdr:to>
      <xdr:col>5</xdr:col>
      <xdr:colOff>6828</xdr:colOff>
      <xdr:row>22</xdr:row>
      <xdr:rowOff>150215</xdr:rowOff>
    </xdr:to>
    <xdr:graphicFrame macro="">
      <xdr:nvGraphicFramePr>
        <xdr:cNvPr id="2" name="Chart 1">
          <a:extLst>
            <a:ext uri="{FF2B5EF4-FFF2-40B4-BE49-F238E27FC236}">
              <a16:creationId xmlns:a16="http://schemas.microsoft.com/office/drawing/2014/main" id="{38BC9347-1C35-9389-C950-CF9FE7B301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147567</xdr:colOff>
      <xdr:row>9</xdr:row>
      <xdr:rowOff>74808</xdr:rowOff>
    </xdr:from>
    <xdr:to>
      <xdr:col>8</xdr:col>
      <xdr:colOff>47194</xdr:colOff>
      <xdr:row>22</xdr:row>
      <xdr:rowOff>167472</xdr:rowOff>
    </xdr:to>
    <xdr:graphicFrame macro="">
      <xdr:nvGraphicFramePr>
        <xdr:cNvPr id="3" name="Chart 2">
          <a:extLst>
            <a:ext uri="{FF2B5EF4-FFF2-40B4-BE49-F238E27FC236}">
              <a16:creationId xmlns:a16="http://schemas.microsoft.com/office/drawing/2014/main" id="{3AD2D7B0-BF0D-58EA-0B56-F4EADE0FF8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142875</xdr:colOff>
      <xdr:row>9</xdr:row>
      <xdr:rowOff>99819</xdr:rowOff>
    </xdr:from>
    <xdr:to>
      <xdr:col>11</xdr:col>
      <xdr:colOff>55562</xdr:colOff>
      <xdr:row>23</xdr:row>
      <xdr:rowOff>13956</xdr:rowOff>
    </xdr:to>
    <xdr:graphicFrame macro="">
      <xdr:nvGraphicFramePr>
        <xdr:cNvPr id="6" name="Chart 5">
          <a:extLst>
            <a:ext uri="{FF2B5EF4-FFF2-40B4-BE49-F238E27FC236}">
              <a16:creationId xmlns:a16="http://schemas.microsoft.com/office/drawing/2014/main" id="{201F3D9F-2B80-AB36-C775-5990C05B97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48120</xdr:rowOff>
    </xdr:from>
    <xdr:to>
      <xdr:col>10</xdr:col>
      <xdr:colOff>1682982</xdr:colOff>
      <xdr:row>2</xdr:row>
      <xdr:rowOff>429935</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2A592FEE-51A2-C4F9-FFB5-6C5D1AAED65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522625"/>
              <a:ext cx="12722213" cy="7725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378256</xdr:colOff>
      <xdr:row>2</xdr:row>
      <xdr:rowOff>590224</xdr:rowOff>
    </xdr:from>
    <xdr:to>
      <xdr:col>1</xdr:col>
      <xdr:colOff>34069</xdr:colOff>
      <xdr:row>2</xdr:row>
      <xdr:rowOff>1005416</xdr:rowOff>
    </xdr:to>
    <xdr:sp macro="" textlink="">
      <xdr:nvSpPr>
        <xdr:cNvPr id="8" name="Speech Bubble: Rectangle with Corners Rounded 7">
          <a:extLst>
            <a:ext uri="{FF2B5EF4-FFF2-40B4-BE49-F238E27FC236}">
              <a16:creationId xmlns:a16="http://schemas.microsoft.com/office/drawing/2014/main" id="{283C0A10-BDC5-D35F-0BCD-281B0B4AFDEA}"/>
            </a:ext>
          </a:extLst>
        </xdr:cNvPr>
        <xdr:cNvSpPr/>
      </xdr:nvSpPr>
      <xdr:spPr>
        <a:xfrm>
          <a:off x="378256" y="985064"/>
          <a:ext cx="1174114" cy="415192"/>
        </a:xfrm>
        <a:prstGeom prst="wedgeRoundRectCallout">
          <a:avLst/>
        </a:prstGeom>
      </xdr:spPr>
      <xdr:style>
        <a:lnRef idx="1">
          <a:schemeClr val="accent4"/>
        </a:lnRef>
        <a:fillRef idx="1003">
          <a:schemeClr val="lt2"/>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533400</xdr:colOff>
          <xdr:row>2</xdr:row>
          <xdr:rowOff>673100</xdr:rowOff>
        </xdr:from>
        <xdr:to>
          <xdr:col>1</xdr:col>
          <xdr:colOff>304800</xdr:colOff>
          <xdr:row>2</xdr:row>
          <xdr:rowOff>908050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top sales </a:t>
              </a:r>
            </a:p>
          </xdr:txBody>
        </xdr:sp>
        <xdr:clientData/>
      </xdr:twoCellAnchor>
    </mc:Choice>
    <mc:Fallback/>
  </mc:AlternateContent>
  <xdr:twoCellAnchor>
    <xdr:from>
      <xdr:col>3</xdr:col>
      <xdr:colOff>431174</xdr:colOff>
      <xdr:row>2</xdr:row>
      <xdr:rowOff>572284</xdr:rowOff>
    </xdr:from>
    <xdr:to>
      <xdr:col>4</xdr:col>
      <xdr:colOff>269659</xdr:colOff>
      <xdr:row>2</xdr:row>
      <xdr:rowOff>1011297</xdr:rowOff>
    </xdr:to>
    <xdr:sp macro="" textlink="">
      <xdr:nvSpPr>
        <xdr:cNvPr id="14" name="Speech Bubble: Rectangle with Corners Rounded 13">
          <a:extLst>
            <a:ext uri="{FF2B5EF4-FFF2-40B4-BE49-F238E27FC236}">
              <a16:creationId xmlns:a16="http://schemas.microsoft.com/office/drawing/2014/main" id="{C4B2D37D-8775-4410-8C05-3A491EAF05EA}"/>
            </a:ext>
          </a:extLst>
        </xdr:cNvPr>
        <xdr:cNvSpPr/>
      </xdr:nvSpPr>
      <xdr:spPr>
        <a:xfrm>
          <a:off x="3301722" y="963722"/>
          <a:ext cx="1265060" cy="439013"/>
        </a:xfrm>
        <a:prstGeom prst="wedgeRoundRectCallout">
          <a:avLst/>
        </a:prstGeom>
      </xdr:spPr>
      <xdr:style>
        <a:lnRef idx="1">
          <a:schemeClr val="accent4"/>
        </a:lnRef>
        <a:fillRef idx="1003">
          <a:schemeClr val="lt2"/>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527050</xdr:colOff>
          <xdr:row>2</xdr:row>
          <xdr:rowOff>647700</xdr:rowOff>
        </xdr:from>
        <xdr:to>
          <xdr:col>4</xdr:col>
          <xdr:colOff>368300</xdr:colOff>
          <xdr:row>2</xdr:row>
          <xdr:rowOff>946150</xdr:rowOff>
        </xdr:to>
        <xdr:sp macro="" textlink="">
          <xdr:nvSpPr>
            <xdr:cNvPr id="1030" name="Check Box 6" descr="m&#10;&#10;"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Bottom sales </a:t>
              </a:r>
            </a:p>
          </xdr:txBody>
        </xdr:sp>
        <xdr:clientData/>
      </xdr:twoCellAnchor>
    </mc:Choice>
    <mc:Fallback/>
  </mc:AlternateContent>
  <xdr:twoCellAnchor>
    <xdr:from>
      <xdr:col>6</xdr:col>
      <xdr:colOff>493890</xdr:colOff>
      <xdr:row>2</xdr:row>
      <xdr:rowOff>572284</xdr:rowOff>
    </xdr:from>
    <xdr:to>
      <xdr:col>7</xdr:col>
      <xdr:colOff>208768</xdr:colOff>
      <xdr:row>2</xdr:row>
      <xdr:rowOff>1011297</xdr:rowOff>
    </xdr:to>
    <xdr:sp macro="" textlink="">
      <xdr:nvSpPr>
        <xdr:cNvPr id="15" name="Speech Bubble: Rectangle with Corners Rounded 14">
          <a:extLst>
            <a:ext uri="{FF2B5EF4-FFF2-40B4-BE49-F238E27FC236}">
              <a16:creationId xmlns:a16="http://schemas.microsoft.com/office/drawing/2014/main" id="{D605A8C0-6B5A-474C-B73C-FF447D7803EB}"/>
            </a:ext>
          </a:extLst>
        </xdr:cNvPr>
        <xdr:cNvSpPr/>
      </xdr:nvSpPr>
      <xdr:spPr>
        <a:xfrm>
          <a:off x="6200191" y="963722"/>
          <a:ext cx="1254536" cy="439013"/>
        </a:xfrm>
        <a:prstGeom prst="wedgeRoundRectCallout">
          <a:avLst/>
        </a:prstGeom>
      </xdr:spPr>
      <xdr:style>
        <a:lnRef idx="1">
          <a:schemeClr val="accent4"/>
        </a:lnRef>
        <a:fillRef idx="1003">
          <a:schemeClr val="lt2"/>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596900</xdr:colOff>
          <xdr:row>2</xdr:row>
          <xdr:rowOff>660400</xdr:rowOff>
        </xdr:from>
        <xdr:to>
          <xdr:col>7</xdr:col>
          <xdr:colOff>342900</xdr:colOff>
          <xdr:row>2</xdr:row>
          <xdr:rowOff>895350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Target Hit</a:t>
              </a:r>
            </a:p>
          </xdr:txBody>
        </xdr:sp>
        <xdr:clientData/>
      </xdr:twoCellAnchor>
    </mc:Choice>
    <mc:Fallback/>
  </mc:AlternateContent>
  <xdr:twoCellAnchor>
    <xdr:from>
      <xdr:col>9</xdr:col>
      <xdr:colOff>682037</xdr:colOff>
      <xdr:row>2</xdr:row>
      <xdr:rowOff>587963</xdr:rowOff>
    </xdr:from>
    <xdr:to>
      <xdr:col>9</xdr:col>
      <xdr:colOff>1939794</xdr:colOff>
      <xdr:row>2</xdr:row>
      <xdr:rowOff>1026976</xdr:rowOff>
    </xdr:to>
    <xdr:sp macro="" textlink="">
      <xdr:nvSpPr>
        <xdr:cNvPr id="16" name="Speech Bubble: Rectangle with Corners Rounded 15" descr="m&#10;&#10;">
          <a:extLst>
            <a:ext uri="{FF2B5EF4-FFF2-40B4-BE49-F238E27FC236}">
              <a16:creationId xmlns:a16="http://schemas.microsoft.com/office/drawing/2014/main" id="{A46E9D8F-0C4B-4711-B1AD-781B2A02E678}"/>
            </a:ext>
          </a:extLst>
        </xdr:cNvPr>
        <xdr:cNvSpPr/>
      </xdr:nvSpPr>
      <xdr:spPr>
        <a:xfrm>
          <a:off x="9763407" y="979401"/>
          <a:ext cx="1257757" cy="439013"/>
        </a:xfrm>
        <a:prstGeom prst="wedgeRoundRectCallout">
          <a:avLst/>
        </a:prstGeom>
      </xdr:spPr>
      <xdr:style>
        <a:lnRef idx="1">
          <a:schemeClr val="accent4"/>
        </a:lnRef>
        <a:fillRef idx="1003">
          <a:schemeClr val="lt2"/>
        </a:fillRef>
        <a:effectRef idx="1">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787400</xdr:colOff>
          <xdr:row>2</xdr:row>
          <xdr:rowOff>673100</xdr:rowOff>
        </xdr:from>
        <xdr:to>
          <xdr:col>10</xdr:col>
          <xdr:colOff>127000</xdr:colOff>
          <xdr:row>2</xdr:row>
          <xdr:rowOff>908050</xdr:rowOff>
        </xdr:to>
        <xdr:sp macro="" textlink="">
          <xdr:nvSpPr>
            <xdr:cNvPr id="1032" name="Check Box 8" descr="m&#10;&#10;"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Away From Target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ir Laptop" refreshedDate="46251.685894444447" createdVersion="8" refreshedVersion="8" minRefreshableVersion="3" recordCount="141" xr:uid="{D04D7385-317C-45B4-8995-EB6D613017C6}">
  <cacheSource type="worksheet">
    <worksheetSource ref="A1:L142" sheet="RAW DATA"/>
  </cacheSource>
  <cacheFields count="12">
    <cacheField name="Emp Code" numFmtId="0">
      <sharedItems/>
    </cacheField>
    <cacheField name="Sales Executive" numFmtId="0">
      <sharedItems count="46">
        <s v="Mehwish Tariq"/>
        <s v="Nimra Yousaf"/>
        <s v="Rameez Khan"/>
        <s v="Anum Tariq"/>
        <s v="Iqra Noman"/>
        <s v="Taha Imran"/>
        <s v="Shayan Ahmed"/>
        <s v="Komal Shah"/>
        <s v="Salman Butt"/>
        <s v="Sidra Javed"/>
        <s v="Hina Arshad"/>
        <s v="Asad Ullah"/>
        <s v="Waleed Khan"/>
        <s v="Owais Malik"/>
        <s v="Abdullah Qureshi"/>
        <s v="Maham Iqbal"/>
        <s v="Kiran Akram"/>
        <s v="Arooj Fatima"/>
        <s v="Shahzaib Ali"/>
        <s v="Rizwan Ahmed"/>
        <s v="Zoya Sheikh"/>
        <s v="Hamza Iqbal"/>
        <s v="Minal Fatima"/>
        <s v="Sana Javed"/>
        <s v="Arham Raza"/>
        <s v="Yasir Mehmood"/>
        <s v="Muneeb Aslam"/>
        <s v="Talha Siddiqui"/>
        <s v="Areeba Hassan"/>
        <s v="Usman Khalid"/>
        <s v="Eman Zahid"/>
        <s v="Saif Ullah"/>
        <s v="Fahad Sheikh"/>
        <s v="Sehrish Khan"/>
        <s v="Huzaifa Rehman"/>
        <s v="Saira Abbas"/>
        <s v="Hassan Raza"/>
        <s v="Faisal Nawaz"/>
        <s v="Danish Rauf"/>
        <s v="Alina Khalid"/>
        <s v="Rabia Khalid"/>
        <s v="Adeel Hussain"/>
        <s v="Maha Asif"/>
        <s v="Hafsa Ahmed"/>
        <s v="Minahil Raza"/>
        <s v="Iqra Nadeem"/>
      </sharedItems>
    </cacheField>
    <cacheField name="Region" numFmtId="0">
      <sharedItems count="8">
        <s v="Islamabad"/>
        <s v="Lahore"/>
        <s v="Karachi"/>
        <s v="Rawalpindi"/>
        <s v="Faisalabad"/>
        <s v="Peshawar"/>
        <s v="Multan"/>
        <s v="Quetta"/>
      </sharedItems>
    </cacheField>
    <cacheField name="Day1" numFmtId="0">
      <sharedItems containsSemiMixedTypes="0" containsString="0" containsNumber="1" containsInteger="1" minValue="15" maxValue="99"/>
    </cacheField>
    <cacheField name="Day2" numFmtId="0">
      <sharedItems containsSemiMixedTypes="0" containsString="0" containsNumber="1" containsInteger="1" minValue="10"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0" maxValue="99"/>
    </cacheField>
    <cacheField name="Day5" numFmtId="0">
      <sharedItems containsSemiMixedTypes="0" containsString="0" containsNumber="1" containsInteger="1" minValue="11" maxValue="99"/>
    </cacheField>
    <cacheField name="Total Sales" numFmtId="0">
      <sharedItems containsSemiMixedTypes="0" containsString="0" containsNumber="1" containsInteger="1" minValue="91" maxValue="339"/>
    </cacheField>
    <cacheField name="Target" numFmtId="0">
      <sharedItems containsSemiMixedTypes="0" containsString="0" containsNumber="1" containsInteger="1" minValue="450" maxValue="550"/>
    </cacheField>
    <cacheField name="Target Hit %" numFmtId="10">
      <sharedItems containsSemiMixedTypes="0" containsString="0" containsNumber="1" minValue="0.25142857142857139" maxValue="0.88666666666666671"/>
    </cacheField>
    <cacheField name="Away From Target %" numFmtId="10">
      <sharedItems containsSemiMixedTypes="0" containsString="0" containsNumber="1" minValue="0.1133333333333333" maxValue="0.74857142857142855"/>
    </cacheField>
  </cacheFields>
  <extLst>
    <ext xmlns:x14="http://schemas.microsoft.com/office/spreadsheetml/2009/9/main" uri="{725AE2AE-9491-48be-B2B4-4EB974FC3084}">
      <x14:pivotCacheDefinition pivotCacheId="14173896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PK-SAL001"/>
    <x v="0"/>
    <x v="0"/>
    <n v="91"/>
    <n v="24"/>
    <n v="13"/>
    <n v="45"/>
    <n v="41"/>
    <n v="173"/>
    <n v="475"/>
    <n v="0.45052631578947372"/>
    <n v="0.54947368421052634"/>
  </r>
  <r>
    <s v="PK-SAL002"/>
    <x v="1"/>
    <x v="1"/>
    <n v="27"/>
    <n v="23"/>
    <n v="96"/>
    <n v="79"/>
    <n v="21"/>
    <n v="225"/>
    <n v="550"/>
    <n v="0.44727272727272732"/>
    <n v="0.55272727272727273"/>
  </r>
  <r>
    <s v="PK-SAL003"/>
    <x v="2"/>
    <x v="2"/>
    <n v="64"/>
    <n v="14"/>
    <n v="13"/>
    <n v="21"/>
    <n v="37"/>
    <n v="112"/>
    <n v="475"/>
    <n v="0.31368421052631579"/>
    <n v="0.68631578947368421"/>
  </r>
  <r>
    <s v="PK-SAL004"/>
    <x v="3"/>
    <x v="3"/>
    <n v="74"/>
    <n v="87"/>
    <n v="13"/>
    <n v="81"/>
    <n v="35"/>
    <n v="255"/>
    <n v="550"/>
    <n v="0.52727272727272723"/>
    <n v="0.47272727272727277"/>
  </r>
  <r>
    <s v="PK-SAL005"/>
    <x v="4"/>
    <x v="4"/>
    <n v="63"/>
    <n v="38"/>
    <n v="67"/>
    <n v="85"/>
    <n v="45"/>
    <n v="253"/>
    <n v="450"/>
    <n v="0.66222222222222227"/>
    <n v="0.33777777777777768"/>
  </r>
  <r>
    <s v="PK-SAL006"/>
    <x v="5"/>
    <x v="5"/>
    <n v="30"/>
    <n v="99"/>
    <n v="64"/>
    <n v="53"/>
    <n v="45"/>
    <n v="246"/>
    <n v="475"/>
    <n v="0.61263157894736842"/>
    <n v="0.38736842105263158"/>
  </r>
  <r>
    <s v="PK-SAL007"/>
    <x v="6"/>
    <x v="6"/>
    <n v="37"/>
    <n v="53"/>
    <n v="23"/>
    <n v="21"/>
    <n v="58"/>
    <n v="134"/>
    <n v="450"/>
    <n v="0.42666666666666669"/>
    <n v="0.57333333333333325"/>
  </r>
  <r>
    <s v="PK-SAL008"/>
    <x v="7"/>
    <x v="7"/>
    <n v="55"/>
    <n v="54"/>
    <n v="87"/>
    <n v="43"/>
    <n v="15"/>
    <n v="239"/>
    <n v="525"/>
    <n v="0.4838095238095238"/>
    <n v="0.5161904761904762"/>
  </r>
  <r>
    <s v="PK-SAL009"/>
    <x v="8"/>
    <x v="0"/>
    <n v="78"/>
    <n v="25"/>
    <n v="58"/>
    <n v="20"/>
    <n v="80"/>
    <n v="181"/>
    <n v="500"/>
    <n v="0.52200000000000002"/>
    <n v="0.47799999999999998"/>
  </r>
  <r>
    <s v="PK-SAL010"/>
    <x v="9"/>
    <x v="1"/>
    <n v="90"/>
    <n v="89"/>
    <n v="56"/>
    <n v="83"/>
    <n v="34"/>
    <n v="318"/>
    <n v="450"/>
    <n v="0.78222222222222226"/>
    <n v="0.21777777777777771"/>
  </r>
  <r>
    <s v="PK-SAL011"/>
    <x v="10"/>
    <x v="2"/>
    <n v="15"/>
    <n v="94"/>
    <n v="39"/>
    <n v="47"/>
    <n v="20"/>
    <n v="195"/>
    <n v="475"/>
    <n v="0.45263157894736838"/>
    <n v="0.5473684210526315"/>
  </r>
  <r>
    <s v="PK-SAL012"/>
    <x v="11"/>
    <x v="3"/>
    <n v="22"/>
    <n v="58"/>
    <n v="45"/>
    <n v="68"/>
    <n v="91"/>
    <n v="193"/>
    <n v="500"/>
    <n v="0.56799999999999995"/>
    <n v="0.43200000000000011"/>
  </r>
  <r>
    <s v="PK-SAL013"/>
    <x v="12"/>
    <x v="4"/>
    <n v="30"/>
    <n v="57"/>
    <n v="55"/>
    <n v="36"/>
    <n v="95"/>
    <n v="178"/>
    <n v="500"/>
    <n v="0.54600000000000004"/>
    <n v="0.45400000000000001"/>
  </r>
  <r>
    <s v="PK-SAL014"/>
    <x v="13"/>
    <x v="5"/>
    <n v="99"/>
    <n v="97"/>
    <n v="92"/>
    <n v="19"/>
    <n v="87"/>
    <n v="307"/>
    <n v="475"/>
    <n v="0.82947368421052636"/>
    <n v="0.17052631578947361"/>
  </r>
  <r>
    <s v="PK-SAL015"/>
    <x v="14"/>
    <x v="6"/>
    <n v="78"/>
    <n v="41"/>
    <n v="30"/>
    <n v="69"/>
    <n v="58"/>
    <n v="218"/>
    <n v="500"/>
    <n v="0.55200000000000005"/>
    <n v="0.44800000000000001"/>
  </r>
  <r>
    <s v="PK-SAL016"/>
    <x v="15"/>
    <x v="7"/>
    <n v="91"/>
    <n v="98"/>
    <n v="81"/>
    <n v="38"/>
    <n v="97"/>
    <n v="308"/>
    <n v="500"/>
    <n v="0.81"/>
    <n v="0.18999999999999989"/>
  </r>
  <r>
    <s v="PK-SAL017"/>
    <x v="16"/>
    <x v="0"/>
    <n v="17"/>
    <n v="39"/>
    <n v="14"/>
    <n v="50"/>
    <n v="61"/>
    <n v="120"/>
    <n v="500"/>
    <n v="0.36199999999999999"/>
    <n v="0.63800000000000001"/>
  </r>
  <r>
    <s v="PK-SAL018"/>
    <x v="17"/>
    <x v="1"/>
    <n v="18"/>
    <n v="37"/>
    <n v="82"/>
    <n v="50"/>
    <n v="37"/>
    <n v="187"/>
    <n v="525"/>
    <n v="0.42666666666666669"/>
    <n v="0.57333333333333325"/>
  </r>
  <r>
    <s v="PK-SAL019"/>
    <x v="18"/>
    <x v="2"/>
    <n v="60"/>
    <n v="92"/>
    <n v="68"/>
    <n v="28"/>
    <n v="43"/>
    <n v="248"/>
    <n v="475"/>
    <n v="0.61263157894736842"/>
    <n v="0.38736842105263158"/>
  </r>
  <r>
    <s v="PK-SAL020"/>
    <x v="19"/>
    <x v="3"/>
    <n v="41"/>
    <n v="81"/>
    <n v="78"/>
    <n v="43"/>
    <n v="84"/>
    <n v="243"/>
    <n v="525"/>
    <n v="0.62285714285714289"/>
    <n v="0.37714285714285711"/>
  </r>
  <r>
    <s v="PK-SAL021"/>
    <x v="16"/>
    <x v="4"/>
    <n v="84"/>
    <n v="61"/>
    <n v="56"/>
    <n v="38"/>
    <n v="27"/>
    <n v="239"/>
    <n v="550"/>
    <n v="0.48363636363636359"/>
    <n v="0.51636363636363636"/>
  </r>
  <r>
    <s v="PK-SAL022"/>
    <x v="14"/>
    <x v="5"/>
    <n v="73"/>
    <n v="21"/>
    <n v="16"/>
    <n v="24"/>
    <n v="29"/>
    <n v="134"/>
    <n v="475"/>
    <n v="0.34315789473684211"/>
    <n v="0.65684210526315789"/>
  </r>
  <r>
    <s v="PK-SAL023"/>
    <x v="20"/>
    <x v="6"/>
    <n v="97"/>
    <n v="64"/>
    <n v="86"/>
    <n v="18"/>
    <n v="59"/>
    <n v="265"/>
    <n v="525"/>
    <n v="0.6171428571428571"/>
    <n v="0.3828571428571429"/>
  </r>
  <r>
    <s v="PK-SAL024"/>
    <x v="21"/>
    <x v="7"/>
    <n v="86"/>
    <n v="69"/>
    <n v="77"/>
    <n v="42"/>
    <n v="80"/>
    <n v="274"/>
    <n v="450"/>
    <n v="0.78666666666666663"/>
    <n v="0.2133333333333334"/>
  </r>
  <r>
    <s v="PK-SAL025"/>
    <x v="22"/>
    <x v="0"/>
    <n v="97"/>
    <n v="24"/>
    <n v="97"/>
    <n v="78"/>
    <n v="44"/>
    <n v="296"/>
    <n v="500"/>
    <n v="0.68"/>
    <n v="0.32"/>
  </r>
  <r>
    <s v="PK-SAL026"/>
    <x v="23"/>
    <x v="1"/>
    <n v="24"/>
    <n v="47"/>
    <n v="65"/>
    <n v="30"/>
    <n v="68"/>
    <n v="166"/>
    <n v="450"/>
    <n v="0.52"/>
    <n v="0.48"/>
  </r>
  <r>
    <s v="PK-SAL027"/>
    <x v="4"/>
    <x v="2"/>
    <n v="43"/>
    <n v="74"/>
    <n v="32"/>
    <n v="74"/>
    <n v="23"/>
    <n v="223"/>
    <n v="500"/>
    <n v="0.49199999999999999"/>
    <n v="0.50800000000000001"/>
  </r>
  <r>
    <s v="PK-SAL028"/>
    <x v="24"/>
    <x v="3"/>
    <n v="91"/>
    <n v="74"/>
    <n v="87"/>
    <n v="35"/>
    <n v="29"/>
    <n v="287"/>
    <n v="500"/>
    <n v="0.63200000000000001"/>
    <n v="0.36799999999999999"/>
  </r>
  <r>
    <s v="PK-SAL029"/>
    <x v="0"/>
    <x v="4"/>
    <n v="30"/>
    <n v="79"/>
    <n v="77"/>
    <n v="10"/>
    <n v="86"/>
    <n v="196"/>
    <n v="500"/>
    <n v="0.56399999999999995"/>
    <n v="0.43600000000000011"/>
  </r>
  <r>
    <s v="PK-SAL030"/>
    <x v="15"/>
    <x v="5"/>
    <n v="72"/>
    <n v="12"/>
    <n v="24"/>
    <n v="56"/>
    <n v="49"/>
    <n v="164"/>
    <n v="475"/>
    <n v="0.44842105263157889"/>
    <n v="0.55157894736842106"/>
  </r>
  <r>
    <s v="PK-SAL031"/>
    <x v="25"/>
    <x v="6"/>
    <n v="17"/>
    <n v="40"/>
    <n v="82"/>
    <n v="20"/>
    <n v="20"/>
    <n v="159"/>
    <n v="525"/>
    <n v="0.34095238095238101"/>
    <n v="0.6590476190476191"/>
  </r>
  <r>
    <s v="PK-SAL032"/>
    <x v="26"/>
    <x v="7"/>
    <n v="18"/>
    <n v="78"/>
    <n v="26"/>
    <n v="26"/>
    <n v="94"/>
    <n v="148"/>
    <n v="525"/>
    <n v="0.46095238095238089"/>
    <n v="0.539047619047619"/>
  </r>
  <r>
    <s v="PK-SAL033"/>
    <x v="27"/>
    <x v="0"/>
    <n v="80"/>
    <n v="31"/>
    <n v="43"/>
    <n v="77"/>
    <n v="87"/>
    <n v="231"/>
    <n v="525"/>
    <n v="0.60571428571428576"/>
    <n v="0.39428571428571418"/>
  </r>
  <r>
    <s v="PK-SAL034"/>
    <x v="28"/>
    <x v="1"/>
    <n v="37"/>
    <n v="79"/>
    <n v="98"/>
    <n v="35"/>
    <n v="49"/>
    <n v="249"/>
    <n v="525"/>
    <n v="0.56761904761904758"/>
    <n v="0.43238095238095242"/>
  </r>
  <r>
    <s v="PK-SAL035"/>
    <x v="3"/>
    <x v="2"/>
    <n v="95"/>
    <n v="93"/>
    <n v="57"/>
    <n v="66"/>
    <n v="76"/>
    <n v="311"/>
    <n v="525"/>
    <n v="0.7371428571428571"/>
    <n v="0.2628571428571429"/>
  </r>
  <r>
    <s v="PK-SAL036"/>
    <x v="29"/>
    <x v="3"/>
    <n v="25"/>
    <n v="41"/>
    <n v="38"/>
    <n v="18"/>
    <n v="53"/>
    <n v="122"/>
    <n v="450"/>
    <n v="0.3888888888888889"/>
    <n v="0.61111111111111116"/>
  </r>
  <r>
    <s v="PK-SAL037"/>
    <x v="30"/>
    <x v="4"/>
    <n v="85"/>
    <n v="80"/>
    <n v="39"/>
    <n v="85"/>
    <n v="38"/>
    <n v="289"/>
    <n v="450"/>
    <n v="0.72666666666666668"/>
    <n v="0.27333333333333332"/>
  </r>
  <r>
    <s v="PK-SAL038"/>
    <x v="31"/>
    <x v="5"/>
    <n v="19"/>
    <n v="90"/>
    <n v="17"/>
    <n v="39"/>
    <n v="18"/>
    <n v="165"/>
    <n v="450"/>
    <n v="0.40666666666666668"/>
    <n v="0.59333333333333327"/>
  </r>
  <r>
    <s v="PK-SAL039"/>
    <x v="32"/>
    <x v="6"/>
    <n v="52"/>
    <n v="19"/>
    <n v="75"/>
    <n v="40"/>
    <n v="45"/>
    <n v="186"/>
    <n v="525"/>
    <n v="0.44"/>
    <n v="0.56000000000000005"/>
  </r>
  <r>
    <s v="PK-SAL040"/>
    <x v="13"/>
    <x v="7"/>
    <n v="37"/>
    <n v="79"/>
    <n v="26"/>
    <n v="83"/>
    <n v="83"/>
    <n v="225"/>
    <n v="525"/>
    <n v="0.58666666666666667"/>
    <n v="0.41333333333333327"/>
  </r>
  <r>
    <s v="PK-SAL041"/>
    <x v="33"/>
    <x v="0"/>
    <n v="41"/>
    <n v="70"/>
    <n v="62"/>
    <n v="34"/>
    <n v="22"/>
    <n v="207"/>
    <n v="450"/>
    <n v="0.50888888888888884"/>
    <n v="0.49111111111111122"/>
  </r>
  <r>
    <s v="PK-SAL042"/>
    <x v="17"/>
    <x v="1"/>
    <n v="94"/>
    <n v="65"/>
    <n v="55"/>
    <n v="64"/>
    <n v="62"/>
    <n v="278"/>
    <n v="525"/>
    <n v="0.64761904761904765"/>
    <n v="0.35238095238095241"/>
  </r>
  <r>
    <s v="PK-SAL043"/>
    <x v="13"/>
    <x v="2"/>
    <n v="16"/>
    <n v="96"/>
    <n v="93"/>
    <n v="92"/>
    <n v="22"/>
    <n v="297"/>
    <n v="450"/>
    <n v="0.7088888888888889"/>
    <n v="0.2911111111111111"/>
  </r>
  <r>
    <s v="PK-SAL044"/>
    <x v="16"/>
    <x v="3"/>
    <n v="61"/>
    <n v="53"/>
    <n v="23"/>
    <n v="41"/>
    <n v="34"/>
    <n v="178"/>
    <n v="475"/>
    <n v="0.44631578947368422"/>
    <n v="0.55368421052631578"/>
  </r>
  <r>
    <s v="PK-SAL045"/>
    <x v="34"/>
    <x v="4"/>
    <n v="78"/>
    <n v="67"/>
    <n v="27"/>
    <n v="66"/>
    <n v="33"/>
    <n v="238"/>
    <n v="500"/>
    <n v="0.53800000000000003"/>
    <n v="0.46200000000000002"/>
  </r>
  <r>
    <s v="PK-SAL046"/>
    <x v="35"/>
    <x v="5"/>
    <n v="69"/>
    <n v="41"/>
    <n v="19"/>
    <n v="66"/>
    <n v="80"/>
    <n v="195"/>
    <n v="450"/>
    <n v="0.61111111111111116"/>
    <n v="0.38888888888888878"/>
  </r>
  <r>
    <s v="PK-SAL047"/>
    <x v="24"/>
    <x v="6"/>
    <n v="16"/>
    <n v="93"/>
    <n v="79"/>
    <n v="11"/>
    <n v="21"/>
    <n v="199"/>
    <n v="475"/>
    <n v="0.4631578947368421"/>
    <n v="0.5368421052631579"/>
  </r>
  <r>
    <s v="PK-SAL048"/>
    <x v="21"/>
    <x v="7"/>
    <n v="31"/>
    <n v="62"/>
    <n v="72"/>
    <n v="71"/>
    <n v="37"/>
    <n v="236"/>
    <n v="525"/>
    <n v="0.52"/>
    <n v="0.48"/>
  </r>
  <r>
    <s v="PK-SAL049"/>
    <x v="36"/>
    <x v="0"/>
    <n v="17"/>
    <n v="31"/>
    <n v="58"/>
    <n v="10"/>
    <n v="59"/>
    <n v="116"/>
    <n v="500"/>
    <n v="0.35"/>
    <n v="0.65"/>
  </r>
  <r>
    <s v="PK-SAL050"/>
    <x v="4"/>
    <x v="1"/>
    <n v="68"/>
    <n v="46"/>
    <n v="64"/>
    <n v="99"/>
    <n v="81"/>
    <n v="277"/>
    <n v="525"/>
    <n v="0.6819047619047619"/>
    <n v="0.3180952380952381"/>
  </r>
  <r>
    <s v="PK-SAL051"/>
    <x v="22"/>
    <x v="2"/>
    <n v="29"/>
    <n v="34"/>
    <n v="47"/>
    <n v="37"/>
    <n v="17"/>
    <n v="147"/>
    <n v="550"/>
    <n v="0.29818181818181821"/>
    <n v="0.7018181818181819"/>
  </r>
  <r>
    <s v="PK-SAL052"/>
    <x v="37"/>
    <x v="3"/>
    <n v="79"/>
    <n v="17"/>
    <n v="50"/>
    <n v="17"/>
    <n v="16"/>
    <n v="163"/>
    <n v="550"/>
    <n v="0.32545454545454539"/>
    <n v="0.67454545454545456"/>
  </r>
  <r>
    <s v="PK-SAL053"/>
    <x v="6"/>
    <x v="4"/>
    <n v="71"/>
    <n v="74"/>
    <n v="77"/>
    <n v="30"/>
    <n v="17"/>
    <n v="252"/>
    <n v="550"/>
    <n v="0.48909090909090908"/>
    <n v="0.51090909090909098"/>
  </r>
  <r>
    <s v="PK-SAL054"/>
    <x v="8"/>
    <x v="5"/>
    <n v="20"/>
    <n v="33"/>
    <n v="18"/>
    <n v="86"/>
    <n v="18"/>
    <n v="157"/>
    <n v="475"/>
    <n v="0.36842105263157893"/>
    <n v="0.63157894736842102"/>
  </r>
  <r>
    <s v="PK-SAL055"/>
    <x v="38"/>
    <x v="6"/>
    <n v="61"/>
    <n v="25"/>
    <n v="82"/>
    <n v="41"/>
    <n v="84"/>
    <n v="209"/>
    <n v="550"/>
    <n v="0.53272727272727272"/>
    <n v="0.46727272727272728"/>
  </r>
  <r>
    <s v="PK-SAL056"/>
    <x v="19"/>
    <x v="7"/>
    <n v="15"/>
    <n v="89"/>
    <n v="20"/>
    <n v="63"/>
    <n v="94"/>
    <n v="187"/>
    <n v="550"/>
    <n v="0.51090909090909087"/>
    <n v="0.48909090909090908"/>
  </r>
  <r>
    <s v="PK-SAL057"/>
    <x v="39"/>
    <x v="0"/>
    <n v="82"/>
    <n v="76"/>
    <n v="50"/>
    <n v="43"/>
    <n v="36"/>
    <n v="251"/>
    <n v="500"/>
    <n v="0.57399999999999995"/>
    <n v="0.42599999999999999"/>
  </r>
  <r>
    <s v="PK-SAL058"/>
    <x v="36"/>
    <x v="1"/>
    <n v="40"/>
    <n v="43"/>
    <n v="60"/>
    <n v="26"/>
    <n v="95"/>
    <n v="169"/>
    <n v="500"/>
    <n v="0.52800000000000002"/>
    <n v="0.47199999999999998"/>
  </r>
  <r>
    <s v="PK-SAL059"/>
    <x v="27"/>
    <x v="2"/>
    <n v="68"/>
    <n v="50"/>
    <n v="19"/>
    <n v="11"/>
    <n v="68"/>
    <n v="148"/>
    <n v="550"/>
    <n v="0.3927272727272727"/>
    <n v="0.6072727272727273"/>
  </r>
  <r>
    <s v="PK-SAL060"/>
    <x v="1"/>
    <x v="3"/>
    <n v="82"/>
    <n v="22"/>
    <n v="19"/>
    <n v="78"/>
    <n v="37"/>
    <n v="201"/>
    <n v="550"/>
    <n v="0.43272727272727268"/>
    <n v="0.56727272727272726"/>
  </r>
  <r>
    <s v="PK-SAL061"/>
    <x v="11"/>
    <x v="4"/>
    <n v="43"/>
    <n v="26"/>
    <n v="54"/>
    <n v="18"/>
    <n v="41"/>
    <n v="141"/>
    <n v="500"/>
    <n v="0.36399999999999999"/>
    <n v="0.63600000000000001"/>
  </r>
  <r>
    <s v="PK-SAL062"/>
    <x v="19"/>
    <x v="5"/>
    <n v="46"/>
    <n v="30"/>
    <n v="66"/>
    <n v="79"/>
    <n v="48"/>
    <n v="221"/>
    <n v="550"/>
    <n v="0.48909090909090908"/>
    <n v="0.51090909090909098"/>
  </r>
  <r>
    <s v="PK-SAL063"/>
    <x v="38"/>
    <x v="6"/>
    <n v="93"/>
    <n v="77"/>
    <n v="11"/>
    <n v="95"/>
    <n v="80"/>
    <n v="276"/>
    <n v="500"/>
    <n v="0.71199999999999997"/>
    <n v="0.28799999999999998"/>
  </r>
  <r>
    <s v="PK-SAL064"/>
    <x v="10"/>
    <x v="7"/>
    <n v="94"/>
    <n v="23"/>
    <n v="27"/>
    <n v="43"/>
    <n v="24"/>
    <n v="187"/>
    <n v="450"/>
    <n v="0.46888888888888891"/>
    <n v="0.53111111111111109"/>
  </r>
  <r>
    <s v="PK-SAL065"/>
    <x v="35"/>
    <x v="0"/>
    <n v="80"/>
    <n v="29"/>
    <n v="44"/>
    <n v="46"/>
    <n v="87"/>
    <n v="199"/>
    <n v="475"/>
    <n v="0.6021052631578947"/>
    <n v="0.3978947368421053"/>
  </r>
  <r>
    <s v="PK-SAL066"/>
    <x v="25"/>
    <x v="1"/>
    <n v="53"/>
    <n v="36"/>
    <n v="97"/>
    <n v="91"/>
    <n v="43"/>
    <n v="277"/>
    <n v="550"/>
    <n v="0.58181818181818179"/>
    <n v="0.41818181818181821"/>
  </r>
  <r>
    <s v="PK-SAL067"/>
    <x v="39"/>
    <x v="2"/>
    <n v="72"/>
    <n v="42"/>
    <n v="16"/>
    <n v="21"/>
    <n v="91"/>
    <n v="151"/>
    <n v="525"/>
    <n v="0.46095238095238089"/>
    <n v="0.539047619047619"/>
  </r>
  <r>
    <s v="PK-SAL068"/>
    <x v="3"/>
    <x v="3"/>
    <n v="45"/>
    <n v="15"/>
    <n v="10"/>
    <n v="52"/>
    <n v="26"/>
    <n v="122"/>
    <n v="500"/>
    <n v="0.29599999999999999"/>
    <n v="0.70399999999999996"/>
  </r>
  <r>
    <s v="PK-SAL069"/>
    <x v="38"/>
    <x v="4"/>
    <n v="30"/>
    <n v="66"/>
    <n v="80"/>
    <n v="64"/>
    <n v="81"/>
    <n v="240"/>
    <n v="450"/>
    <n v="0.71333333333333337"/>
    <n v="0.28666666666666663"/>
  </r>
  <r>
    <s v="PK-SAL070"/>
    <x v="10"/>
    <x v="5"/>
    <n v="24"/>
    <n v="19"/>
    <n v="98"/>
    <n v="29"/>
    <n v="79"/>
    <n v="175"/>
    <n v="450"/>
    <n v="0.55333333333333334"/>
    <n v="0.44666666666666671"/>
  </r>
  <r>
    <s v="PK-SAL071"/>
    <x v="2"/>
    <x v="6"/>
    <n v="57"/>
    <n v="84"/>
    <n v="80"/>
    <n v="28"/>
    <n v="65"/>
    <n v="249"/>
    <n v="475"/>
    <n v="0.66105263157894734"/>
    <n v="0.33894736842105272"/>
  </r>
  <r>
    <s v="PK-SAL072"/>
    <x v="40"/>
    <x v="7"/>
    <n v="15"/>
    <n v="49"/>
    <n v="56"/>
    <n v="15"/>
    <n v="55"/>
    <n v="135"/>
    <n v="475"/>
    <n v="0.4"/>
    <n v="0.6"/>
  </r>
  <r>
    <s v="PK-SAL073"/>
    <x v="20"/>
    <x v="0"/>
    <n v="97"/>
    <n v="41"/>
    <n v="95"/>
    <n v="23"/>
    <n v="57"/>
    <n v="258"/>
    <n v="550"/>
    <n v="0.56545454545454543"/>
    <n v="0.43454545454545462"/>
  </r>
  <r>
    <s v="PK-SAL074"/>
    <x v="25"/>
    <x v="1"/>
    <n v="62"/>
    <n v="89"/>
    <n v="29"/>
    <n v="40"/>
    <n v="30"/>
    <n v="220"/>
    <n v="475"/>
    <n v="0.52631578947368418"/>
    <n v="0.47368421052631582"/>
  </r>
  <r>
    <s v="PK-SAL075"/>
    <x v="11"/>
    <x v="2"/>
    <n v="62"/>
    <n v="13"/>
    <n v="32"/>
    <n v="52"/>
    <n v="62"/>
    <n v="159"/>
    <n v="475"/>
    <n v="0.46526315789473682"/>
    <n v="0.53473684210526318"/>
  </r>
  <r>
    <s v="PK-SAL076"/>
    <x v="21"/>
    <x v="3"/>
    <n v="44"/>
    <n v="30"/>
    <n v="99"/>
    <n v="23"/>
    <n v="58"/>
    <n v="196"/>
    <n v="450"/>
    <n v="0.56444444444444442"/>
    <n v="0.43555555555555558"/>
  </r>
  <r>
    <s v="PK-SAL077"/>
    <x v="41"/>
    <x v="4"/>
    <n v="70"/>
    <n v="38"/>
    <n v="35"/>
    <n v="68"/>
    <n v="54"/>
    <n v="211"/>
    <n v="500"/>
    <n v="0.53"/>
    <n v="0.47"/>
  </r>
  <r>
    <s v="PK-SAL078"/>
    <x v="30"/>
    <x v="5"/>
    <n v="39"/>
    <n v="38"/>
    <n v="13"/>
    <n v="94"/>
    <n v="34"/>
    <n v="184"/>
    <n v="525"/>
    <n v="0.41523809523809518"/>
    <n v="0.58476190476190482"/>
  </r>
  <r>
    <s v="PK-SAL079"/>
    <x v="29"/>
    <x v="6"/>
    <n v="52"/>
    <n v="45"/>
    <n v="18"/>
    <n v="45"/>
    <n v="54"/>
    <n v="160"/>
    <n v="550"/>
    <n v="0.3890909090909091"/>
    <n v="0.61090909090909085"/>
  </r>
  <r>
    <s v="PK-SAL080"/>
    <x v="42"/>
    <x v="7"/>
    <n v="61"/>
    <n v="96"/>
    <n v="78"/>
    <n v="52"/>
    <n v="13"/>
    <n v="287"/>
    <n v="450"/>
    <n v="0.66666666666666663"/>
    <n v="0.33333333333333343"/>
  </r>
  <r>
    <s v="PK-SAL081"/>
    <x v="37"/>
    <x v="0"/>
    <n v="43"/>
    <n v="32"/>
    <n v="84"/>
    <n v="43"/>
    <n v="14"/>
    <n v="202"/>
    <n v="450"/>
    <n v="0.48"/>
    <n v="0.52"/>
  </r>
  <r>
    <s v="PK-SAL082"/>
    <x v="9"/>
    <x v="1"/>
    <n v="86"/>
    <n v="65"/>
    <n v="54"/>
    <n v="50"/>
    <n v="65"/>
    <n v="255"/>
    <n v="550"/>
    <n v="0.58181818181818179"/>
    <n v="0.41818181818181821"/>
  </r>
  <r>
    <s v="PK-SAL083"/>
    <x v="43"/>
    <x v="2"/>
    <n v="75"/>
    <n v="24"/>
    <n v="59"/>
    <n v="83"/>
    <n v="34"/>
    <n v="241"/>
    <n v="500"/>
    <n v="0.55000000000000004"/>
    <n v="0.45"/>
  </r>
  <r>
    <s v="PK-SAL084"/>
    <x v="31"/>
    <x v="3"/>
    <n v="15"/>
    <n v="65"/>
    <n v="10"/>
    <n v="76"/>
    <n v="78"/>
    <n v="166"/>
    <n v="475"/>
    <n v="0.51368421052631574"/>
    <n v="0.48631578947368431"/>
  </r>
  <r>
    <s v="PK-SAL085"/>
    <x v="32"/>
    <x v="4"/>
    <n v="56"/>
    <n v="65"/>
    <n v="18"/>
    <n v="95"/>
    <n v="52"/>
    <n v="234"/>
    <n v="550"/>
    <n v="0.52"/>
    <n v="0.48"/>
  </r>
  <r>
    <s v="PK-SAL086"/>
    <x v="28"/>
    <x v="5"/>
    <n v="50"/>
    <n v="94"/>
    <n v="25"/>
    <n v="48"/>
    <n v="74"/>
    <n v="217"/>
    <n v="500"/>
    <n v="0.58199999999999996"/>
    <n v="0.41799999999999998"/>
  </r>
  <r>
    <s v="PK-SAL087"/>
    <x v="34"/>
    <x v="6"/>
    <n v="95"/>
    <n v="62"/>
    <n v="51"/>
    <n v="61"/>
    <n v="99"/>
    <n v="269"/>
    <n v="500"/>
    <n v="0.73599999999999999"/>
    <n v="0.26400000000000001"/>
  </r>
  <r>
    <s v="PK-SAL088"/>
    <x v="26"/>
    <x v="7"/>
    <n v="80"/>
    <n v="26"/>
    <n v="34"/>
    <n v="63"/>
    <n v="95"/>
    <n v="203"/>
    <n v="525"/>
    <n v="0.56761904761904758"/>
    <n v="0.43238095238095242"/>
  </r>
  <r>
    <s v="PK-SAL089"/>
    <x v="23"/>
    <x v="0"/>
    <n v="96"/>
    <n v="32"/>
    <n v="88"/>
    <n v="82"/>
    <n v="48"/>
    <n v="298"/>
    <n v="525"/>
    <n v="0.65904761904761899"/>
    <n v="0.34095238095238101"/>
  </r>
  <r>
    <s v="PK-SAL090"/>
    <x v="42"/>
    <x v="1"/>
    <n v="80"/>
    <n v="10"/>
    <n v="48"/>
    <n v="46"/>
    <n v="36"/>
    <n v="184"/>
    <n v="525"/>
    <n v="0.41904761904761911"/>
    <n v="0.58095238095238089"/>
  </r>
  <r>
    <s v="PK-SAL091"/>
    <x v="24"/>
    <x v="2"/>
    <n v="84"/>
    <n v="87"/>
    <n v="93"/>
    <n v="51"/>
    <n v="69"/>
    <n v="315"/>
    <n v="525"/>
    <n v="0.73142857142857143"/>
    <n v="0.26857142857142863"/>
  </r>
  <r>
    <s v="PK-SAL092"/>
    <x v="2"/>
    <x v="3"/>
    <n v="66"/>
    <n v="96"/>
    <n v="37"/>
    <n v="75"/>
    <n v="70"/>
    <n v="274"/>
    <n v="475"/>
    <n v="0.72421052631578953"/>
    <n v="0.27578947368421047"/>
  </r>
  <r>
    <s v="PK-SAL093"/>
    <x v="44"/>
    <x v="4"/>
    <n v="94"/>
    <n v="20"/>
    <n v="46"/>
    <n v="75"/>
    <n v="94"/>
    <n v="235"/>
    <n v="550"/>
    <n v="0.59818181818181815"/>
    <n v="0.40181818181818191"/>
  </r>
  <r>
    <s v="PK-SAL094"/>
    <x v="26"/>
    <x v="5"/>
    <n v="52"/>
    <n v="21"/>
    <n v="40"/>
    <n v="96"/>
    <n v="49"/>
    <n v="209"/>
    <n v="475"/>
    <n v="0.54315789473684206"/>
    <n v="0.45684210526315788"/>
  </r>
  <r>
    <s v="PK-SAL095"/>
    <x v="32"/>
    <x v="6"/>
    <n v="35"/>
    <n v="28"/>
    <n v="13"/>
    <n v="15"/>
    <n v="41"/>
    <n v="91"/>
    <n v="525"/>
    <n v="0.25142857142857139"/>
    <n v="0.74857142857142855"/>
  </r>
  <r>
    <s v="PK-SAL096"/>
    <x v="37"/>
    <x v="7"/>
    <n v="88"/>
    <n v="19"/>
    <n v="68"/>
    <n v="63"/>
    <n v="90"/>
    <n v="238"/>
    <n v="550"/>
    <n v="0.59636363636363632"/>
    <n v="0.40363636363636368"/>
  </r>
  <r>
    <s v="PK-SAL097"/>
    <x v="35"/>
    <x v="0"/>
    <n v="34"/>
    <n v="99"/>
    <n v="59"/>
    <n v="73"/>
    <n v="61"/>
    <n v="265"/>
    <n v="475"/>
    <n v="0.68631578947368421"/>
    <n v="0.31368421052631579"/>
  </r>
  <r>
    <s v="PK-SAL098"/>
    <x v="31"/>
    <x v="1"/>
    <n v="28"/>
    <n v="93"/>
    <n v="98"/>
    <n v="10"/>
    <n v="23"/>
    <n v="229"/>
    <n v="525"/>
    <n v="0.48"/>
    <n v="0.52"/>
  </r>
  <r>
    <s v="PK-SAL099"/>
    <x v="28"/>
    <x v="2"/>
    <n v="38"/>
    <n v="32"/>
    <n v="99"/>
    <n v="76"/>
    <n v="69"/>
    <n v="245"/>
    <n v="450"/>
    <n v="0.69777777777777783"/>
    <n v="0.30222222222222223"/>
  </r>
  <r>
    <s v="PK-SAL100"/>
    <x v="42"/>
    <x v="3"/>
    <n v="81"/>
    <n v="41"/>
    <n v="25"/>
    <n v="68"/>
    <n v="27"/>
    <n v="215"/>
    <n v="525"/>
    <n v="0.46095238095238089"/>
    <n v="0.539047619047619"/>
  </r>
  <r>
    <s v="PK-SAL101"/>
    <x v="22"/>
    <x v="4"/>
    <n v="95"/>
    <n v="77"/>
    <n v="81"/>
    <n v="86"/>
    <n v="50"/>
    <n v="339"/>
    <n v="525"/>
    <n v="0.74095238095238092"/>
    <n v="0.25904761904761908"/>
  </r>
  <r>
    <s v="PK-SAL102"/>
    <x v="18"/>
    <x v="5"/>
    <n v="88"/>
    <n v="74"/>
    <n v="64"/>
    <n v="80"/>
    <n v="67"/>
    <n v="306"/>
    <n v="475"/>
    <n v="0.78526315789473689"/>
    <n v="0.21473684210526309"/>
  </r>
  <r>
    <s v="PK-SAL103"/>
    <x v="43"/>
    <x v="6"/>
    <n v="70"/>
    <n v="67"/>
    <n v="43"/>
    <n v="41"/>
    <n v="91"/>
    <n v="221"/>
    <n v="500"/>
    <n v="0.624"/>
    <n v="0.376"/>
  </r>
  <r>
    <s v="PK-SAL104"/>
    <x v="12"/>
    <x v="7"/>
    <n v="76"/>
    <n v="72"/>
    <n v="90"/>
    <n v="40"/>
    <n v="45"/>
    <n v="278"/>
    <n v="525"/>
    <n v="0.61523809523809525"/>
    <n v="0.38476190476190469"/>
  </r>
  <r>
    <s v="PK-SAL105"/>
    <x v="41"/>
    <x v="0"/>
    <n v="19"/>
    <n v="46"/>
    <n v="40"/>
    <n v="44"/>
    <n v="52"/>
    <n v="149"/>
    <n v="500"/>
    <n v="0.40200000000000002"/>
    <n v="0.59799999999999998"/>
  </r>
  <r>
    <s v="PK-SAL106"/>
    <x v="14"/>
    <x v="1"/>
    <n v="79"/>
    <n v="20"/>
    <n v="27"/>
    <n v="29"/>
    <n v="39"/>
    <n v="155"/>
    <n v="525"/>
    <n v="0.36952380952380948"/>
    <n v="0.63047619047619041"/>
  </r>
  <r>
    <s v="PK-SAL107"/>
    <x v="1"/>
    <x v="2"/>
    <n v="98"/>
    <n v="29"/>
    <n v="37"/>
    <n v="18"/>
    <n v="63"/>
    <n v="182"/>
    <n v="525"/>
    <n v="0.46666666666666667"/>
    <n v="0.53333333333333333"/>
  </r>
  <r>
    <s v="PK-SAL108"/>
    <x v="23"/>
    <x v="3"/>
    <n v="52"/>
    <n v="79"/>
    <n v="69"/>
    <n v="63"/>
    <n v="17"/>
    <n v="263"/>
    <n v="475"/>
    <n v="0.58947368421052626"/>
    <n v="0.41052631578947368"/>
  </r>
  <r>
    <s v="PK-SAL109"/>
    <x v="29"/>
    <x v="4"/>
    <n v="63"/>
    <n v="59"/>
    <n v="84"/>
    <n v="99"/>
    <n v="12"/>
    <n v="305"/>
    <n v="550"/>
    <n v="0.57636363636363641"/>
    <n v="0.42363636363636359"/>
  </r>
  <r>
    <s v="PK-SAL110"/>
    <x v="45"/>
    <x v="5"/>
    <n v="58"/>
    <n v="71"/>
    <n v="10"/>
    <n v="55"/>
    <n v="48"/>
    <n v="194"/>
    <n v="525"/>
    <n v="0.46095238095238089"/>
    <n v="0.539047619047619"/>
  </r>
  <r>
    <s v="PK-SAL111"/>
    <x v="8"/>
    <x v="6"/>
    <n v="63"/>
    <n v="78"/>
    <n v="79"/>
    <n v="87"/>
    <n v="38"/>
    <n v="307"/>
    <n v="525"/>
    <n v="0.65714285714285714"/>
    <n v="0.34285714285714292"/>
  </r>
  <r>
    <s v="PK-SAL112"/>
    <x v="33"/>
    <x v="7"/>
    <n v="38"/>
    <n v="44"/>
    <n v="65"/>
    <n v="72"/>
    <n v="13"/>
    <n v="219"/>
    <n v="525"/>
    <n v="0.44190476190476191"/>
    <n v="0.55809523809523809"/>
  </r>
  <r>
    <s v="PK-SAL113"/>
    <x v="39"/>
    <x v="0"/>
    <n v="53"/>
    <n v="95"/>
    <n v="96"/>
    <n v="61"/>
    <n v="31"/>
    <n v="305"/>
    <n v="525"/>
    <n v="0.64"/>
    <n v="0.36"/>
  </r>
  <r>
    <s v="PK-SAL114"/>
    <x v="44"/>
    <x v="1"/>
    <n v="26"/>
    <n v="89"/>
    <n v="78"/>
    <n v="13"/>
    <n v="60"/>
    <n v="206"/>
    <n v="550"/>
    <n v="0.48363636363636359"/>
    <n v="0.51636363636363636"/>
  </r>
  <r>
    <s v="PK-SAL115"/>
    <x v="7"/>
    <x v="2"/>
    <n v="82"/>
    <n v="94"/>
    <n v="13"/>
    <n v="20"/>
    <n v="92"/>
    <n v="209"/>
    <n v="525"/>
    <n v="0.57333333333333336"/>
    <n v="0.42666666666666658"/>
  </r>
  <r>
    <s v="PK-SAL116"/>
    <x v="0"/>
    <x v="3"/>
    <n v="27"/>
    <n v="69"/>
    <n v="33"/>
    <n v="16"/>
    <n v="43"/>
    <n v="145"/>
    <n v="525"/>
    <n v="0.35809523809523808"/>
    <n v="0.64190476190476198"/>
  </r>
  <r>
    <s v="PK-SAL117"/>
    <x v="43"/>
    <x v="4"/>
    <n v="51"/>
    <n v="37"/>
    <n v="68"/>
    <n v="51"/>
    <n v="53"/>
    <n v="207"/>
    <n v="525"/>
    <n v="0.49523809523809531"/>
    <n v="0.50476190476190474"/>
  </r>
  <r>
    <s v="PK-SAL118"/>
    <x v="9"/>
    <x v="5"/>
    <n v="45"/>
    <n v="63"/>
    <n v="42"/>
    <n v="20"/>
    <n v="70"/>
    <n v="170"/>
    <n v="450"/>
    <n v="0.53333333333333333"/>
    <n v="0.46666666666666667"/>
  </r>
  <r>
    <s v="PK-SAL119"/>
    <x v="44"/>
    <x v="6"/>
    <n v="79"/>
    <n v="16"/>
    <n v="54"/>
    <n v="38"/>
    <n v="93"/>
    <n v="187"/>
    <n v="450"/>
    <n v="0.62222222222222223"/>
    <n v="0.37777777777777782"/>
  </r>
  <r>
    <s v="PK-SAL120"/>
    <x v="40"/>
    <x v="7"/>
    <n v="93"/>
    <n v="15"/>
    <n v="13"/>
    <n v="41"/>
    <n v="35"/>
    <n v="162"/>
    <n v="450"/>
    <n v="0.43777777777777782"/>
    <n v="0.56222222222222218"/>
  </r>
  <r>
    <s v="PK-SAL121"/>
    <x v="40"/>
    <x v="0"/>
    <n v="89"/>
    <n v="29"/>
    <n v="40"/>
    <n v="26"/>
    <n v="70"/>
    <n v="184"/>
    <n v="450"/>
    <n v="0.56444444444444442"/>
    <n v="0.43555555555555558"/>
  </r>
  <r>
    <s v="PK-SAL122"/>
    <x v="15"/>
    <x v="1"/>
    <n v="82"/>
    <n v="37"/>
    <n v="69"/>
    <n v="99"/>
    <n v="42"/>
    <n v="287"/>
    <n v="500"/>
    <n v="0.65800000000000003"/>
    <n v="0.34200000000000003"/>
  </r>
  <r>
    <s v="PK-SAL123"/>
    <x v="17"/>
    <x v="2"/>
    <n v="31"/>
    <n v="87"/>
    <n v="87"/>
    <n v="24"/>
    <n v="30"/>
    <n v="229"/>
    <n v="500"/>
    <n v="0.51800000000000002"/>
    <n v="0.48199999999999998"/>
  </r>
  <r>
    <s v="PK-SAL124"/>
    <x v="18"/>
    <x v="3"/>
    <n v="23"/>
    <n v="84"/>
    <n v="13"/>
    <n v="49"/>
    <n v="83"/>
    <n v="169"/>
    <n v="525"/>
    <n v="0.48"/>
    <n v="0.52"/>
  </r>
  <r>
    <s v="PK-SAL125"/>
    <x v="33"/>
    <x v="4"/>
    <n v="60"/>
    <n v="35"/>
    <n v="19"/>
    <n v="85"/>
    <n v="98"/>
    <n v="199"/>
    <n v="475"/>
    <n v="0.62526315789473685"/>
    <n v="0.37473684210526309"/>
  </r>
  <r>
    <s v="PK-SAL126"/>
    <x v="30"/>
    <x v="5"/>
    <n v="23"/>
    <n v="99"/>
    <n v="48"/>
    <n v="97"/>
    <n v="86"/>
    <n v="267"/>
    <n v="450"/>
    <n v="0.7844444444444445"/>
    <n v="0.2155555555555555"/>
  </r>
  <r>
    <s v="PK-SAL127"/>
    <x v="45"/>
    <x v="6"/>
    <n v="82"/>
    <n v="15"/>
    <n v="54"/>
    <n v="78"/>
    <n v="64"/>
    <n v="229"/>
    <n v="500"/>
    <n v="0.58599999999999997"/>
    <n v="0.41399999999999998"/>
  </r>
  <r>
    <s v="PK-SAL128"/>
    <x v="7"/>
    <x v="7"/>
    <n v="18"/>
    <n v="74"/>
    <n v="92"/>
    <n v="53"/>
    <n v="11"/>
    <n v="237"/>
    <n v="525"/>
    <n v="0.4723809523809524"/>
    <n v="0.52761904761904765"/>
  </r>
  <r>
    <s v="PK-SAL129"/>
    <x v="12"/>
    <x v="0"/>
    <n v="72"/>
    <n v="23"/>
    <n v="65"/>
    <n v="56"/>
    <n v="91"/>
    <n v="216"/>
    <n v="525"/>
    <n v="0.58476190476190482"/>
    <n v="0.41523809523809518"/>
  </r>
  <r>
    <s v="PK-SAL130"/>
    <x v="5"/>
    <x v="1"/>
    <n v="29"/>
    <n v="65"/>
    <n v="32"/>
    <n v="76"/>
    <n v="93"/>
    <n v="202"/>
    <n v="500"/>
    <n v="0.59"/>
    <n v="0.41"/>
  </r>
  <r>
    <s v="PK-SAL131"/>
    <x v="34"/>
    <x v="2"/>
    <n v="88"/>
    <n v="78"/>
    <n v="71"/>
    <n v="69"/>
    <n v="65"/>
    <n v="306"/>
    <n v="550"/>
    <n v="0.67454545454545456"/>
    <n v="0.32545454545454539"/>
  </r>
  <r>
    <s v="PK-SAL132"/>
    <x v="27"/>
    <x v="3"/>
    <n v="44"/>
    <n v="51"/>
    <n v="41"/>
    <n v="21"/>
    <n v="45"/>
    <n v="157"/>
    <n v="525"/>
    <n v="0.38476190476190469"/>
    <n v="0.61523809523809525"/>
  </r>
  <r>
    <s v="PK-SAL133"/>
    <x v="20"/>
    <x v="4"/>
    <n v="41"/>
    <n v="69"/>
    <n v="82"/>
    <n v="88"/>
    <n v="95"/>
    <n v="280"/>
    <n v="525"/>
    <n v="0.7142857142857143"/>
    <n v="0.2857142857142857"/>
  </r>
  <r>
    <s v="PK-SAL134"/>
    <x v="45"/>
    <x v="5"/>
    <n v="53"/>
    <n v="13"/>
    <n v="73"/>
    <n v="51"/>
    <n v="33"/>
    <n v="190"/>
    <n v="525"/>
    <n v="0.42476190476190478"/>
    <n v="0.57523809523809522"/>
  </r>
  <r>
    <s v="PK-SAL135"/>
    <x v="5"/>
    <x v="6"/>
    <n v="37"/>
    <n v="55"/>
    <n v="43"/>
    <n v="53"/>
    <n v="45"/>
    <n v="188"/>
    <n v="550"/>
    <n v="0.42363636363636359"/>
    <n v="0.57636363636363641"/>
  </r>
  <r>
    <s v="PK-SAL136"/>
    <x v="41"/>
    <x v="7"/>
    <n v="99"/>
    <n v="45"/>
    <n v="81"/>
    <n v="11"/>
    <n v="76"/>
    <n v="236"/>
    <n v="475"/>
    <n v="0.65684210526315789"/>
    <n v="0.34315789473684211"/>
  </r>
  <r>
    <s v="PK-SAL137"/>
    <x v="36"/>
    <x v="0"/>
    <n v="20"/>
    <n v="40"/>
    <n v="62"/>
    <n v="72"/>
    <n v="81"/>
    <n v="194"/>
    <n v="475"/>
    <n v="0.57894736842105265"/>
    <n v="0.42105263157894729"/>
  </r>
  <r>
    <s v="PK-SAL138"/>
    <x v="6"/>
    <x v="1"/>
    <n v="98"/>
    <n v="70"/>
    <n v="92"/>
    <n v="72"/>
    <n v="67"/>
    <n v="332"/>
    <n v="450"/>
    <n v="0.88666666666666671"/>
    <n v="0.1133333333333333"/>
  </r>
  <r>
    <s v="PK-SAL139"/>
    <x v="12"/>
    <x v="2"/>
    <n v="21"/>
    <n v="47"/>
    <n v="38"/>
    <n v="61"/>
    <n v="98"/>
    <n v="167"/>
    <n v="475"/>
    <n v="0.55789473684210522"/>
    <n v="0.44210526315789478"/>
  </r>
  <r>
    <s v="PK-SAL140"/>
    <x v="30"/>
    <x v="3"/>
    <n v="49"/>
    <n v="94"/>
    <n v="84"/>
    <n v="57"/>
    <n v="70"/>
    <n v="284"/>
    <n v="550"/>
    <n v="0.64363636363636367"/>
    <n v="0.35636363636363633"/>
  </r>
  <r>
    <s v="PK-SAL141"/>
    <x v="13"/>
    <x v="4"/>
    <n v="77"/>
    <n v="54"/>
    <n v="64"/>
    <n v="80"/>
    <n v="52"/>
    <n v="275"/>
    <n v="500"/>
    <n v="0.65400000000000003"/>
    <n v="0.345999999999999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524C75-9C74-4ED9-A434-1D6AA474C34D}" name="PivotTable5"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5">
  <location ref="J4:K9" firstHeaderRow="1" firstDataRow="1" firstDataCol="1"/>
  <pivotFields count="12">
    <pivotField showAll="0"/>
    <pivotField axis="axisRow" showAll="0" measureFilter="1">
      <items count="47">
        <item x="14"/>
        <item x="41"/>
        <item x="39"/>
        <item x="3"/>
        <item x="28"/>
        <item x="24"/>
        <item x="17"/>
        <item x="11"/>
        <item x="38"/>
        <item x="30"/>
        <item x="32"/>
        <item x="37"/>
        <item x="43"/>
        <item x="21"/>
        <item x="36"/>
        <item x="10"/>
        <item x="34"/>
        <item x="45"/>
        <item x="4"/>
        <item x="16"/>
        <item x="7"/>
        <item x="42"/>
        <item x="15"/>
        <item x="0"/>
        <item x="44"/>
        <item x="22"/>
        <item x="26"/>
        <item x="1"/>
        <item x="13"/>
        <item x="40"/>
        <item x="2"/>
        <item x="19"/>
        <item x="31"/>
        <item x="35"/>
        <item x="8"/>
        <item x="23"/>
        <item x="33"/>
        <item x="18"/>
        <item x="6"/>
        <item x="9"/>
        <item x="5"/>
        <item x="27"/>
        <item x="29"/>
        <item x="12"/>
        <item x="25"/>
        <item x="20"/>
        <item t="default"/>
      </items>
    </pivotField>
    <pivotField showAll="0">
      <items count="9">
        <item h="1" x="4"/>
        <item x="0"/>
        <item h="1" x="2"/>
        <item h="1" x="1"/>
        <item h="1" x="6"/>
        <item h="1" x="5"/>
        <item h="1" x="7"/>
        <item h="1" x="3"/>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1"/>
    </i>
    <i>
      <x v="2"/>
    </i>
    <i>
      <x v="14"/>
    </i>
    <i>
      <x v="19"/>
    </i>
    <i>
      <x v="33"/>
    </i>
  </rowItems>
  <colItems count="1">
    <i/>
  </colItems>
  <dataFields count="1">
    <dataField name=" Away From Target %" fld="11" baseField="1" baseItem="19" numFmtId="10"/>
  </dataFields>
  <chartFormats count="2">
    <chartFormat chart="19" format="1"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68EC33-0241-4073-9DCE-787EFB6CB69D}"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0" rowHeaderCaption="Sales Executive">
  <location ref="G4:H9" firstHeaderRow="1" firstDataRow="1" firstDataCol="1"/>
  <pivotFields count="12">
    <pivotField showAll="0"/>
    <pivotField axis="axisRow" showAll="0" measureFilter="1">
      <items count="47">
        <item x="14"/>
        <item x="41"/>
        <item x="39"/>
        <item x="3"/>
        <item x="28"/>
        <item x="24"/>
        <item x="17"/>
        <item x="11"/>
        <item x="38"/>
        <item x="30"/>
        <item x="32"/>
        <item x="37"/>
        <item x="43"/>
        <item x="21"/>
        <item x="36"/>
        <item x="10"/>
        <item x="34"/>
        <item x="45"/>
        <item x="4"/>
        <item x="16"/>
        <item x="7"/>
        <item x="42"/>
        <item x="15"/>
        <item x="0"/>
        <item x="44"/>
        <item x="22"/>
        <item x="26"/>
        <item x="1"/>
        <item x="13"/>
        <item x="40"/>
        <item x="2"/>
        <item x="19"/>
        <item x="31"/>
        <item x="35"/>
        <item x="8"/>
        <item x="23"/>
        <item x="33"/>
        <item x="18"/>
        <item x="6"/>
        <item x="9"/>
        <item x="5"/>
        <item x="27"/>
        <item x="29"/>
        <item x="12"/>
        <item x="25"/>
        <item x="20"/>
        <item t="default"/>
      </items>
    </pivotField>
    <pivotField showAll="0">
      <items count="9">
        <item h="1" x="4"/>
        <item x="0"/>
        <item h="1" x="2"/>
        <item h="1" x="1"/>
        <item h="1" x="6"/>
        <item h="1" x="5"/>
        <item h="1" x="7"/>
        <item h="1" x="3"/>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
    </i>
    <i>
      <x v="14"/>
    </i>
    <i>
      <x v="25"/>
    </i>
    <i>
      <x v="33"/>
    </i>
    <i>
      <x v="35"/>
    </i>
  </rowItems>
  <colItems count="1">
    <i/>
  </colItems>
  <dataFields count="1">
    <dataField name="Sum of Target Hit %" fld="10" baseField="0" baseItem="0" numFmtId="10"/>
  </dataFields>
  <chartFormats count="14">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8"/>
          </reference>
        </references>
      </pivotArea>
    </chartFormat>
    <chartFormat chart="0" format="3">
      <pivotArea type="data" outline="0" fieldPosition="0">
        <references count="2">
          <reference field="4294967294" count="1" selected="0">
            <x v="0"/>
          </reference>
          <reference field="1" count="1" selected="0">
            <x v="9"/>
          </reference>
        </references>
      </pivotArea>
    </chartFormat>
    <chartFormat chart="0" format="4">
      <pivotArea type="data" outline="0" fieldPosition="0">
        <references count="2">
          <reference field="4294967294" count="1" selected="0">
            <x v="0"/>
          </reference>
          <reference field="1" count="1" selected="0">
            <x v="16"/>
          </reference>
        </references>
      </pivotArea>
    </chartFormat>
    <chartFormat chart="0" format="5">
      <pivotArea type="data" outline="0" fieldPosition="0">
        <references count="2">
          <reference field="4294967294" count="1" selected="0">
            <x v="0"/>
          </reference>
          <reference field="1" count="1" selected="0">
            <x v="28"/>
          </reference>
        </references>
      </pivotArea>
    </chartFormat>
    <chartFormat chart="0" format="6">
      <pivotArea type="data" outline="0" fieldPosition="0">
        <references count="2">
          <reference field="4294967294" count="1" selected="0">
            <x v="0"/>
          </reference>
          <reference field="1" count="1" selected="0">
            <x v="43"/>
          </reference>
        </references>
      </pivotArea>
    </chartFormat>
    <chartFormat chart="0" format="7">
      <pivotArea type="data" outline="0" fieldPosition="0">
        <references count="2">
          <reference field="4294967294" count="1" selected="0">
            <x v="0"/>
          </reference>
          <reference field="1" count="1" selected="0">
            <x v="10"/>
          </reference>
        </references>
      </pivotArea>
    </chartFormat>
    <chartFormat chart="0" format="8">
      <pivotArea type="data" outline="0" fieldPosition="0">
        <references count="2">
          <reference field="4294967294" count="1" selected="0">
            <x v="0"/>
          </reference>
          <reference field="1" count="1" selected="0">
            <x v="30"/>
          </reference>
        </references>
      </pivotArea>
    </chartFormat>
    <chartFormat chart="0" format="9">
      <pivotArea type="data" outline="0" fieldPosition="0">
        <references count="2">
          <reference field="4294967294" count="1" selected="0">
            <x v="0"/>
          </reference>
          <reference field="1" count="1" selected="0">
            <x v="34"/>
          </reference>
        </references>
      </pivotArea>
    </chartFormat>
    <chartFormat chart="0" format="10">
      <pivotArea type="data" outline="0" fieldPosition="0">
        <references count="2">
          <reference field="4294967294" count="1" selected="0">
            <x v="0"/>
          </reference>
          <reference field="1" count="1" selected="0">
            <x v="2"/>
          </reference>
        </references>
      </pivotArea>
    </chartFormat>
    <chartFormat chart="0" format="11">
      <pivotArea type="data" outline="0" fieldPosition="0">
        <references count="2">
          <reference field="4294967294" count="1" selected="0">
            <x v="0"/>
          </reference>
          <reference field="1" count="1" selected="0">
            <x v="6"/>
          </reference>
        </references>
      </pivotArea>
    </chartFormat>
    <chartFormat chart="0" format="12">
      <pivotArea type="data" outline="0" fieldPosition="0">
        <references count="2">
          <reference field="4294967294" count="1" selected="0">
            <x v="0"/>
          </reference>
          <reference field="1" count="1" selected="0">
            <x v="14"/>
          </reference>
        </references>
      </pivotArea>
    </chartFormat>
    <chartFormat chart="0" format="13">
      <pivotArea type="data" outline="0" fieldPosition="0">
        <references count="2">
          <reference field="4294967294" count="1" selected="0">
            <x v="0"/>
          </reference>
          <reference field="1" count="1" selected="0">
            <x v="33"/>
          </reference>
        </references>
      </pivotArea>
    </chartFormat>
    <chartFormat chart="0" format="14">
      <pivotArea type="data" outline="0" fieldPosition="0">
        <references count="2">
          <reference field="4294967294" count="1" selected="0">
            <x v="0"/>
          </reference>
          <reference field="1" count="1" selected="0">
            <x v="39"/>
          </reference>
        </references>
      </pivotArea>
    </chartFormat>
  </chartFormats>
  <pivotTableStyleInfo name="PivotStyleDark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56FC5A-8732-421C-A005-D2555A21E44E}"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4:E9" firstHeaderRow="1" firstDataRow="1" firstDataCol="1"/>
  <pivotFields count="12">
    <pivotField showAll="0"/>
    <pivotField axis="axisRow" showAll="0" measureFilter="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showAll="0">
      <items count="9">
        <item h="1" x="4"/>
        <item x="0"/>
        <item h="1" x="2"/>
        <item h="1" x="1"/>
        <item h="1" x="6"/>
        <item h="1" x="5"/>
        <item h="1" x="7"/>
        <item h="1" x="3"/>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i>
    <i>
      <x v="8"/>
    </i>
    <i>
      <x v="16"/>
    </i>
    <i>
      <x v="40"/>
    </i>
    <i>
      <x v="41"/>
    </i>
  </rowItems>
  <colItems count="1">
    <i/>
  </colItems>
  <dataFields count="1">
    <dataField name="Total Sales " fld="8" baseField="1" baseItem="2"/>
  </dataFields>
  <pivotTableStyleInfo name="PivotStyleDark11"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4936B53-CD1F-4ADA-B53C-5D8A0EF41EE9}"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A4:B9" firstHeaderRow="1" firstDataRow="1" firstDataCol="1"/>
  <pivotFields count="12">
    <pivotField showAll="0"/>
    <pivotField axis="axisRow" showAll="0" measureFilter="1">
      <items count="47">
        <item x="0"/>
        <item x="1"/>
        <item x="2"/>
        <item x="3"/>
        <item x="4"/>
        <item x="5"/>
        <item x="6"/>
        <item x="7"/>
        <item x="8"/>
        <item x="9"/>
        <item x="10"/>
        <item x="11"/>
        <item x="12"/>
        <item x="24"/>
        <item x="13"/>
        <item x="14"/>
        <item x="15"/>
        <item x="16"/>
        <item x="17"/>
        <item x="18"/>
        <item x="19"/>
        <item x="20"/>
        <item x="21"/>
        <item x="22"/>
        <item x="23"/>
        <item x="25"/>
        <item x="26"/>
        <item x="27"/>
        <item x="28"/>
        <item x="29"/>
        <item x="30"/>
        <item x="31"/>
        <item x="32"/>
        <item x="33"/>
        <item x="34"/>
        <item x="35"/>
        <item x="36"/>
        <item x="37"/>
        <item x="38"/>
        <item x="39"/>
        <item x="40"/>
        <item x="41"/>
        <item x="42"/>
        <item x="43"/>
        <item x="44"/>
        <item x="45"/>
        <item t="default"/>
      </items>
    </pivotField>
    <pivotField showAll="0">
      <items count="9">
        <item h="1" x="4"/>
        <item x="0"/>
        <item h="1" x="2"/>
        <item h="1" x="1"/>
        <item h="1" x="6"/>
        <item h="1" x="5"/>
        <item h="1" x="7"/>
        <item h="1" x="3"/>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3"/>
    </i>
    <i>
      <x v="24"/>
    </i>
    <i>
      <x v="35"/>
    </i>
    <i>
      <x v="36"/>
    </i>
    <i>
      <x v="39"/>
    </i>
  </rowItems>
  <colItems count="1">
    <i/>
  </colItems>
  <dataFields count="1">
    <dataField name="Total Sales " fld="8" baseField="1" baseItem="2"/>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1"/>
          </reference>
        </references>
      </pivotArea>
    </chartFormat>
  </chartFormats>
  <pivotTableStyleInfo name="PivotStyleDark9"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A117B3B-30FE-4BFA-AAC3-943A04D0DD15}" sourceName="Region">
  <pivotTables>
    <pivotTable tabId="2" name="PivotTable2"/>
    <pivotTable tabId="2" name="PivotTable3"/>
    <pivotTable tabId="2" name="PivotTable4"/>
    <pivotTable tabId="2" name="PivotTable5"/>
  </pivotTables>
  <data>
    <tabular pivotCacheId="1417389663">
      <items count="8">
        <i x="4"/>
        <i x="0" s="1"/>
        <i x="2"/>
        <i x="1"/>
        <i x="6"/>
        <i x="5"/>
        <i x="7"/>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01F5307-89F1-4B0C-A8DF-463553B5EA9F}" cache="Slicer_Region" caption="Region" columnCount="8" showCaption="0" style="Slicer Style 1" rowHeight="6400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500"/>
  <sheetViews>
    <sheetView topLeftCell="A59" zoomScale="133" workbookViewId="0">
      <selection activeCell="I72" sqref="I72"/>
    </sheetView>
  </sheetViews>
  <sheetFormatPr defaultRowHeight="14.5" x14ac:dyDescent="0.35"/>
  <cols>
    <col min="1" max="1" width="9.36328125" bestFit="1" customWidth="1"/>
    <col min="2" max="2" width="15.36328125" bestFit="1" customWidth="1"/>
    <col min="3" max="3" width="10" bestFit="1" customWidth="1"/>
    <col min="4" max="8" width="5" bestFit="1" customWidth="1"/>
    <col min="9" max="9" width="9.6328125" bestFit="1" customWidth="1"/>
    <col min="10" max="10" width="6.08984375" bestFit="1" customWidth="1"/>
    <col min="11" max="11" width="10.81640625" bestFit="1" customWidth="1"/>
    <col min="12" max="12" width="18" bestFit="1" customWidth="1"/>
    <col min="15" max="15" width="15.36328125" bestFit="1" customWidth="1"/>
  </cols>
  <sheetData>
    <row r="1" spans="1:15" x14ac:dyDescent="0.35">
      <c r="A1" s="7" t="s">
        <v>0</v>
      </c>
      <c r="B1" s="8" t="s">
        <v>1</v>
      </c>
      <c r="C1" s="7" t="s">
        <v>2</v>
      </c>
      <c r="D1" s="7" t="s">
        <v>3</v>
      </c>
      <c r="E1" s="7" t="s">
        <v>4</v>
      </c>
      <c r="F1" s="7" t="s">
        <v>5</v>
      </c>
      <c r="G1" s="7" t="s">
        <v>6</v>
      </c>
      <c r="H1" s="7" t="s">
        <v>7</v>
      </c>
      <c r="I1" s="7" t="s">
        <v>8</v>
      </c>
      <c r="J1" s="7" t="s">
        <v>9</v>
      </c>
      <c r="K1" s="7" t="s">
        <v>10</v>
      </c>
      <c r="L1" s="7" t="s">
        <v>11</v>
      </c>
      <c r="O1" s="6"/>
    </row>
    <row r="2" spans="1:15" x14ac:dyDescent="0.35">
      <c r="A2" s="2" t="s">
        <v>12</v>
      </c>
      <c r="B2" s="9" t="s">
        <v>163</v>
      </c>
      <c r="C2" s="2" t="s">
        <v>13</v>
      </c>
      <c r="D2" s="2">
        <v>91</v>
      </c>
      <c r="E2" s="2">
        <v>24</v>
      </c>
      <c r="F2" s="2">
        <v>13</v>
      </c>
      <c r="G2" s="2">
        <v>45</v>
      </c>
      <c r="H2" s="2">
        <v>41</v>
      </c>
      <c r="I2" s="2">
        <v>173</v>
      </c>
      <c r="J2" s="2">
        <v>475</v>
      </c>
      <c r="K2" s="3">
        <v>0.45052631578947372</v>
      </c>
      <c r="L2" s="3">
        <v>0.54947368421052634</v>
      </c>
      <c r="O2" s="6"/>
    </row>
    <row r="3" spans="1:15" x14ac:dyDescent="0.35">
      <c r="A3" s="2" t="s">
        <v>14</v>
      </c>
      <c r="B3" s="9" t="s">
        <v>164</v>
      </c>
      <c r="C3" s="2" t="s">
        <v>15</v>
      </c>
      <c r="D3" s="2">
        <v>27</v>
      </c>
      <c r="E3" s="2">
        <v>23</v>
      </c>
      <c r="F3" s="2">
        <v>96</v>
      </c>
      <c r="G3" s="2">
        <v>79</v>
      </c>
      <c r="H3" s="2">
        <v>21</v>
      </c>
      <c r="I3" s="2">
        <v>225</v>
      </c>
      <c r="J3" s="2">
        <v>550</v>
      </c>
      <c r="K3" s="3">
        <v>0.44727272727272732</v>
      </c>
      <c r="L3" s="3">
        <v>0.55272727272727273</v>
      </c>
      <c r="O3" s="6"/>
    </row>
    <row r="4" spans="1:15" x14ac:dyDescent="0.35">
      <c r="A4" s="2" t="s">
        <v>16</v>
      </c>
      <c r="B4" s="9" t="s">
        <v>165</v>
      </c>
      <c r="C4" s="2" t="s">
        <v>17</v>
      </c>
      <c r="D4" s="2">
        <v>64</v>
      </c>
      <c r="E4" s="2">
        <v>14</v>
      </c>
      <c r="F4" s="2">
        <v>13</v>
      </c>
      <c r="G4" s="2">
        <v>21</v>
      </c>
      <c r="H4" s="2">
        <v>37</v>
      </c>
      <c r="I4" s="2">
        <v>112</v>
      </c>
      <c r="J4" s="2">
        <v>475</v>
      </c>
      <c r="K4" s="3">
        <v>0.31368421052631579</v>
      </c>
      <c r="L4" s="3">
        <v>0.68631578947368421</v>
      </c>
      <c r="O4" s="6"/>
    </row>
    <row r="5" spans="1:15" x14ac:dyDescent="0.35">
      <c r="A5" s="2" t="s">
        <v>18</v>
      </c>
      <c r="B5" s="9" t="s">
        <v>166</v>
      </c>
      <c r="C5" s="2" t="s">
        <v>19</v>
      </c>
      <c r="D5" s="2">
        <v>74</v>
      </c>
      <c r="E5" s="2">
        <v>87</v>
      </c>
      <c r="F5" s="2">
        <v>13</v>
      </c>
      <c r="G5" s="2">
        <v>81</v>
      </c>
      <c r="H5" s="2">
        <v>35</v>
      </c>
      <c r="I5" s="2">
        <v>255</v>
      </c>
      <c r="J5" s="2">
        <v>550</v>
      </c>
      <c r="K5" s="3">
        <v>0.52727272727272723</v>
      </c>
      <c r="L5" s="3">
        <v>0.47272727272727277</v>
      </c>
      <c r="O5" s="6"/>
    </row>
    <row r="6" spans="1:15" x14ac:dyDescent="0.35">
      <c r="A6" s="2" t="s">
        <v>20</v>
      </c>
      <c r="B6" s="9" t="s">
        <v>167</v>
      </c>
      <c r="C6" s="2" t="s">
        <v>21</v>
      </c>
      <c r="D6" s="2">
        <v>63</v>
      </c>
      <c r="E6" s="2">
        <v>38</v>
      </c>
      <c r="F6" s="2">
        <v>67</v>
      </c>
      <c r="G6" s="2">
        <v>85</v>
      </c>
      <c r="H6" s="2">
        <v>45</v>
      </c>
      <c r="I6" s="2">
        <v>253</v>
      </c>
      <c r="J6" s="2">
        <v>450</v>
      </c>
      <c r="K6" s="3">
        <v>0.66222222222222227</v>
      </c>
      <c r="L6" s="3">
        <v>0.33777777777777768</v>
      </c>
      <c r="O6" s="6"/>
    </row>
    <row r="7" spans="1:15" x14ac:dyDescent="0.35">
      <c r="A7" s="2" t="s">
        <v>22</v>
      </c>
      <c r="B7" s="9" t="s">
        <v>168</v>
      </c>
      <c r="C7" s="2" t="s">
        <v>23</v>
      </c>
      <c r="D7" s="2">
        <v>30</v>
      </c>
      <c r="E7" s="2">
        <v>99</v>
      </c>
      <c r="F7" s="2">
        <v>64</v>
      </c>
      <c r="G7" s="2">
        <v>53</v>
      </c>
      <c r="H7" s="2">
        <v>45</v>
      </c>
      <c r="I7" s="2">
        <v>246</v>
      </c>
      <c r="J7" s="2">
        <v>475</v>
      </c>
      <c r="K7" s="3">
        <v>0.61263157894736842</v>
      </c>
      <c r="L7" s="3">
        <v>0.38736842105263158</v>
      </c>
      <c r="O7" s="6"/>
    </row>
    <row r="8" spans="1:15" x14ac:dyDescent="0.35">
      <c r="A8" s="2" t="s">
        <v>24</v>
      </c>
      <c r="B8" s="9" t="s">
        <v>169</v>
      </c>
      <c r="C8" s="2" t="s">
        <v>25</v>
      </c>
      <c r="D8" s="2">
        <v>37</v>
      </c>
      <c r="E8" s="2">
        <v>53</v>
      </c>
      <c r="F8" s="2">
        <v>23</v>
      </c>
      <c r="G8" s="2">
        <v>21</v>
      </c>
      <c r="H8" s="2">
        <v>58</v>
      </c>
      <c r="I8" s="2">
        <v>134</v>
      </c>
      <c r="J8" s="2">
        <v>450</v>
      </c>
      <c r="K8" s="3">
        <v>0.42666666666666669</v>
      </c>
      <c r="L8" s="3">
        <v>0.57333333333333325</v>
      </c>
      <c r="O8" s="6"/>
    </row>
    <row r="9" spans="1:15" x14ac:dyDescent="0.35">
      <c r="A9" s="2" t="s">
        <v>26</v>
      </c>
      <c r="B9" s="9" t="s">
        <v>170</v>
      </c>
      <c r="C9" s="2" t="s">
        <v>27</v>
      </c>
      <c r="D9" s="2">
        <v>55</v>
      </c>
      <c r="E9" s="2">
        <v>54</v>
      </c>
      <c r="F9" s="2">
        <v>87</v>
      </c>
      <c r="G9" s="2">
        <v>43</v>
      </c>
      <c r="H9" s="2">
        <v>15</v>
      </c>
      <c r="I9" s="2">
        <v>239</v>
      </c>
      <c r="J9" s="2">
        <v>525</v>
      </c>
      <c r="K9" s="3">
        <v>0.4838095238095238</v>
      </c>
      <c r="L9" s="3">
        <v>0.5161904761904762</v>
      </c>
      <c r="O9" s="6"/>
    </row>
    <row r="10" spans="1:15" x14ac:dyDescent="0.35">
      <c r="A10" s="2" t="s">
        <v>28</v>
      </c>
      <c r="B10" s="9" t="s">
        <v>171</v>
      </c>
      <c r="C10" s="2" t="s">
        <v>13</v>
      </c>
      <c r="D10" s="2">
        <v>78</v>
      </c>
      <c r="E10" s="2">
        <v>25</v>
      </c>
      <c r="F10" s="2">
        <v>58</v>
      </c>
      <c r="G10" s="2">
        <v>20</v>
      </c>
      <c r="H10" s="2">
        <v>80</v>
      </c>
      <c r="I10" s="2">
        <v>181</v>
      </c>
      <c r="J10" s="2">
        <v>500</v>
      </c>
      <c r="K10" s="3">
        <v>0.52200000000000002</v>
      </c>
      <c r="L10" s="3">
        <v>0.47799999999999998</v>
      </c>
      <c r="O10" s="6"/>
    </row>
    <row r="11" spans="1:15" x14ac:dyDescent="0.35">
      <c r="A11" s="2" t="s">
        <v>29</v>
      </c>
      <c r="B11" s="9" t="s">
        <v>172</v>
      </c>
      <c r="C11" s="2" t="s">
        <v>15</v>
      </c>
      <c r="D11" s="2">
        <v>90</v>
      </c>
      <c r="E11" s="2">
        <v>89</v>
      </c>
      <c r="F11" s="2">
        <v>56</v>
      </c>
      <c r="G11" s="2">
        <v>83</v>
      </c>
      <c r="H11" s="2">
        <v>34</v>
      </c>
      <c r="I11" s="2">
        <v>318</v>
      </c>
      <c r="J11" s="2">
        <v>450</v>
      </c>
      <c r="K11" s="3">
        <v>0.78222222222222226</v>
      </c>
      <c r="L11" s="3">
        <v>0.21777777777777771</v>
      </c>
      <c r="O11" s="6"/>
    </row>
    <row r="12" spans="1:15" x14ac:dyDescent="0.35">
      <c r="A12" s="2" t="s">
        <v>30</v>
      </c>
      <c r="B12" s="9" t="s">
        <v>173</v>
      </c>
      <c r="C12" s="2" t="s">
        <v>17</v>
      </c>
      <c r="D12" s="2">
        <v>15</v>
      </c>
      <c r="E12" s="2">
        <v>94</v>
      </c>
      <c r="F12" s="2">
        <v>39</v>
      </c>
      <c r="G12" s="2">
        <v>47</v>
      </c>
      <c r="H12" s="2">
        <v>20</v>
      </c>
      <c r="I12" s="2">
        <v>195</v>
      </c>
      <c r="J12" s="2">
        <v>475</v>
      </c>
      <c r="K12" s="3">
        <v>0.45263157894736838</v>
      </c>
      <c r="L12" s="3">
        <v>0.5473684210526315</v>
      </c>
      <c r="O12" s="6"/>
    </row>
    <row r="13" spans="1:15" x14ac:dyDescent="0.35">
      <c r="A13" s="2" t="s">
        <v>31</v>
      </c>
      <c r="B13" s="9" t="s">
        <v>174</v>
      </c>
      <c r="C13" s="2" t="s">
        <v>19</v>
      </c>
      <c r="D13" s="2">
        <v>22</v>
      </c>
      <c r="E13" s="2">
        <v>58</v>
      </c>
      <c r="F13" s="2">
        <v>45</v>
      </c>
      <c r="G13" s="2">
        <v>68</v>
      </c>
      <c r="H13" s="2">
        <v>91</v>
      </c>
      <c r="I13" s="2">
        <v>193</v>
      </c>
      <c r="J13" s="2">
        <v>500</v>
      </c>
      <c r="K13" s="3">
        <v>0.56799999999999995</v>
      </c>
      <c r="L13" s="3">
        <v>0.43200000000000011</v>
      </c>
      <c r="O13" s="6"/>
    </row>
    <row r="14" spans="1:15" x14ac:dyDescent="0.35">
      <c r="A14" s="2" t="s">
        <v>32</v>
      </c>
      <c r="B14" s="9" t="s">
        <v>175</v>
      </c>
      <c r="C14" s="2" t="s">
        <v>21</v>
      </c>
      <c r="D14" s="2">
        <v>30</v>
      </c>
      <c r="E14" s="2">
        <v>57</v>
      </c>
      <c r="F14" s="2">
        <v>55</v>
      </c>
      <c r="G14" s="2">
        <v>36</v>
      </c>
      <c r="H14" s="2">
        <v>95</v>
      </c>
      <c r="I14" s="2">
        <v>178</v>
      </c>
      <c r="J14" s="2">
        <v>500</v>
      </c>
      <c r="K14" s="3">
        <v>0.54600000000000004</v>
      </c>
      <c r="L14" s="3">
        <v>0.45400000000000001</v>
      </c>
      <c r="O14" s="6"/>
    </row>
    <row r="15" spans="1:15" x14ac:dyDescent="0.35">
      <c r="A15" s="2" t="s">
        <v>33</v>
      </c>
      <c r="B15" s="9" t="s">
        <v>176</v>
      </c>
      <c r="C15" s="2" t="s">
        <v>23</v>
      </c>
      <c r="D15" s="2">
        <v>99</v>
      </c>
      <c r="E15" s="2">
        <v>97</v>
      </c>
      <c r="F15" s="2">
        <v>92</v>
      </c>
      <c r="G15" s="2">
        <v>19</v>
      </c>
      <c r="H15" s="2">
        <v>87</v>
      </c>
      <c r="I15" s="2">
        <v>307</v>
      </c>
      <c r="J15" s="2">
        <v>475</v>
      </c>
      <c r="K15" s="3">
        <v>0.82947368421052636</v>
      </c>
      <c r="L15" s="3">
        <v>0.17052631578947361</v>
      </c>
      <c r="O15" s="6"/>
    </row>
    <row r="16" spans="1:15" x14ac:dyDescent="0.35">
      <c r="A16" s="2" t="s">
        <v>34</v>
      </c>
      <c r="B16" s="9" t="s">
        <v>177</v>
      </c>
      <c r="C16" s="2" t="s">
        <v>25</v>
      </c>
      <c r="D16" s="2">
        <v>78</v>
      </c>
      <c r="E16" s="2">
        <v>41</v>
      </c>
      <c r="F16" s="2">
        <v>30</v>
      </c>
      <c r="G16" s="2">
        <v>69</v>
      </c>
      <c r="H16" s="2">
        <v>58</v>
      </c>
      <c r="I16" s="2">
        <v>218</v>
      </c>
      <c r="J16" s="2">
        <v>500</v>
      </c>
      <c r="K16" s="3">
        <v>0.55200000000000005</v>
      </c>
      <c r="L16" s="3">
        <v>0.44800000000000001</v>
      </c>
      <c r="O16" s="6"/>
    </row>
    <row r="17" spans="1:15" x14ac:dyDescent="0.35">
      <c r="A17" s="2" t="s">
        <v>35</v>
      </c>
      <c r="B17" s="9" t="s">
        <v>178</v>
      </c>
      <c r="C17" s="2" t="s">
        <v>27</v>
      </c>
      <c r="D17" s="2">
        <v>91</v>
      </c>
      <c r="E17" s="2">
        <v>98</v>
      </c>
      <c r="F17" s="2">
        <v>81</v>
      </c>
      <c r="G17" s="2">
        <v>38</v>
      </c>
      <c r="H17" s="2">
        <v>97</v>
      </c>
      <c r="I17" s="2">
        <v>308</v>
      </c>
      <c r="J17" s="2">
        <v>500</v>
      </c>
      <c r="K17" s="3">
        <v>0.81</v>
      </c>
      <c r="L17" s="3">
        <v>0.18999999999999989</v>
      </c>
      <c r="O17" s="6"/>
    </row>
    <row r="18" spans="1:15" x14ac:dyDescent="0.35">
      <c r="A18" s="2" t="s">
        <v>36</v>
      </c>
      <c r="B18" s="9" t="s">
        <v>179</v>
      </c>
      <c r="C18" s="2" t="s">
        <v>13</v>
      </c>
      <c r="D18" s="2">
        <v>17</v>
      </c>
      <c r="E18" s="2">
        <v>39</v>
      </c>
      <c r="F18" s="2">
        <v>14</v>
      </c>
      <c r="G18" s="2">
        <v>50</v>
      </c>
      <c r="H18" s="2">
        <v>61</v>
      </c>
      <c r="I18" s="2">
        <v>120</v>
      </c>
      <c r="J18" s="2">
        <v>500</v>
      </c>
      <c r="K18" s="3">
        <v>0.36199999999999999</v>
      </c>
      <c r="L18" s="3">
        <v>0.63800000000000001</v>
      </c>
      <c r="O18" s="6"/>
    </row>
    <row r="19" spans="1:15" x14ac:dyDescent="0.35">
      <c r="A19" s="2" t="s">
        <v>37</v>
      </c>
      <c r="B19" s="9" t="s">
        <v>180</v>
      </c>
      <c r="C19" s="2" t="s">
        <v>15</v>
      </c>
      <c r="D19" s="2">
        <v>18</v>
      </c>
      <c r="E19" s="2">
        <v>37</v>
      </c>
      <c r="F19" s="2">
        <v>82</v>
      </c>
      <c r="G19" s="2">
        <v>50</v>
      </c>
      <c r="H19" s="2">
        <v>37</v>
      </c>
      <c r="I19" s="2">
        <v>187</v>
      </c>
      <c r="J19" s="2">
        <v>525</v>
      </c>
      <c r="K19" s="3">
        <v>0.42666666666666669</v>
      </c>
      <c r="L19" s="3">
        <v>0.57333333333333325</v>
      </c>
      <c r="O19" s="6"/>
    </row>
    <row r="20" spans="1:15" x14ac:dyDescent="0.35">
      <c r="A20" s="2" t="s">
        <v>38</v>
      </c>
      <c r="B20" s="9" t="s">
        <v>181</v>
      </c>
      <c r="C20" s="2" t="s">
        <v>17</v>
      </c>
      <c r="D20" s="2">
        <v>60</v>
      </c>
      <c r="E20" s="2">
        <v>92</v>
      </c>
      <c r="F20" s="2">
        <v>68</v>
      </c>
      <c r="G20" s="2">
        <v>28</v>
      </c>
      <c r="H20" s="2">
        <v>43</v>
      </c>
      <c r="I20" s="2">
        <v>248</v>
      </c>
      <c r="J20" s="2">
        <v>475</v>
      </c>
      <c r="K20" s="3">
        <v>0.61263157894736842</v>
      </c>
      <c r="L20" s="3">
        <v>0.38736842105263158</v>
      </c>
      <c r="O20" s="6"/>
    </row>
    <row r="21" spans="1:15" x14ac:dyDescent="0.35">
      <c r="A21" s="2" t="s">
        <v>39</v>
      </c>
      <c r="B21" s="9" t="s">
        <v>182</v>
      </c>
      <c r="C21" s="2" t="s">
        <v>19</v>
      </c>
      <c r="D21" s="2">
        <v>41</v>
      </c>
      <c r="E21" s="2">
        <v>81</v>
      </c>
      <c r="F21" s="2">
        <v>78</v>
      </c>
      <c r="G21" s="2">
        <v>43</v>
      </c>
      <c r="H21" s="2">
        <v>84</v>
      </c>
      <c r="I21" s="2">
        <v>243</v>
      </c>
      <c r="J21" s="2">
        <v>525</v>
      </c>
      <c r="K21" s="3">
        <v>0.62285714285714289</v>
      </c>
      <c r="L21" s="3">
        <v>0.37714285714285711</v>
      </c>
      <c r="O21" s="6"/>
    </row>
    <row r="22" spans="1:15" x14ac:dyDescent="0.35">
      <c r="A22" s="2" t="s">
        <v>40</v>
      </c>
      <c r="B22" s="9" t="s">
        <v>179</v>
      </c>
      <c r="C22" s="2" t="s">
        <v>21</v>
      </c>
      <c r="D22" s="2">
        <v>84</v>
      </c>
      <c r="E22" s="2">
        <v>61</v>
      </c>
      <c r="F22" s="2">
        <v>56</v>
      </c>
      <c r="G22" s="2">
        <v>38</v>
      </c>
      <c r="H22" s="2">
        <v>27</v>
      </c>
      <c r="I22" s="2">
        <v>239</v>
      </c>
      <c r="J22" s="2">
        <v>550</v>
      </c>
      <c r="K22" s="3">
        <v>0.48363636363636359</v>
      </c>
      <c r="L22" s="3">
        <v>0.51636363636363636</v>
      </c>
      <c r="O22" s="6"/>
    </row>
    <row r="23" spans="1:15" x14ac:dyDescent="0.35">
      <c r="A23" s="2" t="s">
        <v>41</v>
      </c>
      <c r="B23" s="9" t="s">
        <v>177</v>
      </c>
      <c r="C23" s="2" t="s">
        <v>23</v>
      </c>
      <c r="D23" s="2">
        <v>73</v>
      </c>
      <c r="E23" s="2">
        <v>21</v>
      </c>
      <c r="F23" s="2">
        <v>16</v>
      </c>
      <c r="G23" s="2">
        <v>24</v>
      </c>
      <c r="H23" s="2">
        <v>29</v>
      </c>
      <c r="I23" s="2">
        <v>134</v>
      </c>
      <c r="J23" s="2">
        <v>475</v>
      </c>
      <c r="K23" s="3">
        <v>0.34315789473684211</v>
      </c>
      <c r="L23" s="3">
        <v>0.65684210526315789</v>
      </c>
      <c r="O23" s="6"/>
    </row>
    <row r="24" spans="1:15" x14ac:dyDescent="0.35">
      <c r="A24" s="2" t="s">
        <v>42</v>
      </c>
      <c r="B24" s="9" t="s">
        <v>183</v>
      </c>
      <c r="C24" s="2" t="s">
        <v>25</v>
      </c>
      <c r="D24" s="2">
        <v>97</v>
      </c>
      <c r="E24" s="2">
        <v>64</v>
      </c>
      <c r="F24" s="2">
        <v>86</v>
      </c>
      <c r="G24" s="2">
        <v>18</v>
      </c>
      <c r="H24" s="2">
        <v>59</v>
      </c>
      <c r="I24" s="2">
        <v>265</v>
      </c>
      <c r="J24" s="2">
        <v>525</v>
      </c>
      <c r="K24" s="3">
        <v>0.6171428571428571</v>
      </c>
      <c r="L24" s="3">
        <v>0.3828571428571429</v>
      </c>
      <c r="O24" s="6"/>
    </row>
    <row r="25" spans="1:15" x14ac:dyDescent="0.35">
      <c r="A25" s="2" t="s">
        <v>43</v>
      </c>
      <c r="B25" s="9" t="s">
        <v>184</v>
      </c>
      <c r="C25" s="2" t="s">
        <v>27</v>
      </c>
      <c r="D25" s="2">
        <v>86</v>
      </c>
      <c r="E25" s="2">
        <v>69</v>
      </c>
      <c r="F25" s="2">
        <v>77</v>
      </c>
      <c r="G25" s="2">
        <v>42</v>
      </c>
      <c r="H25" s="2">
        <v>80</v>
      </c>
      <c r="I25" s="2">
        <v>274</v>
      </c>
      <c r="J25" s="2">
        <v>450</v>
      </c>
      <c r="K25" s="3">
        <v>0.78666666666666663</v>
      </c>
      <c r="L25" s="3">
        <v>0.2133333333333334</v>
      </c>
      <c r="O25" s="6"/>
    </row>
    <row r="26" spans="1:15" x14ac:dyDescent="0.35">
      <c r="A26" s="2" t="s">
        <v>44</v>
      </c>
      <c r="B26" s="9" t="s">
        <v>185</v>
      </c>
      <c r="C26" s="2" t="s">
        <v>13</v>
      </c>
      <c r="D26" s="2">
        <v>97</v>
      </c>
      <c r="E26" s="2">
        <v>24</v>
      </c>
      <c r="F26" s="2">
        <v>97</v>
      </c>
      <c r="G26" s="2">
        <v>78</v>
      </c>
      <c r="H26" s="2">
        <v>44</v>
      </c>
      <c r="I26" s="2">
        <v>296</v>
      </c>
      <c r="J26" s="2">
        <v>500</v>
      </c>
      <c r="K26" s="3">
        <v>0.68</v>
      </c>
      <c r="L26" s="3">
        <v>0.32</v>
      </c>
      <c r="O26" s="6"/>
    </row>
    <row r="27" spans="1:15" x14ac:dyDescent="0.35">
      <c r="A27" s="2" t="s">
        <v>45</v>
      </c>
      <c r="B27" s="9" t="s">
        <v>186</v>
      </c>
      <c r="C27" s="2" t="s">
        <v>15</v>
      </c>
      <c r="D27" s="2">
        <v>24</v>
      </c>
      <c r="E27" s="2">
        <v>47</v>
      </c>
      <c r="F27" s="2">
        <v>65</v>
      </c>
      <c r="G27" s="2">
        <v>30</v>
      </c>
      <c r="H27" s="2">
        <v>68</v>
      </c>
      <c r="I27" s="2">
        <v>166</v>
      </c>
      <c r="J27" s="2">
        <v>450</v>
      </c>
      <c r="K27" s="3">
        <v>0.52</v>
      </c>
      <c r="L27" s="3">
        <v>0.48</v>
      </c>
      <c r="O27" s="6"/>
    </row>
    <row r="28" spans="1:15" x14ac:dyDescent="0.35">
      <c r="A28" s="2" t="s">
        <v>46</v>
      </c>
      <c r="B28" s="9" t="s">
        <v>167</v>
      </c>
      <c r="C28" s="2" t="s">
        <v>17</v>
      </c>
      <c r="D28" s="2">
        <v>43</v>
      </c>
      <c r="E28" s="2">
        <v>74</v>
      </c>
      <c r="F28" s="2">
        <v>32</v>
      </c>
      <c r="G28" s="2">
        <v>74</v>
      </c>
      <c r="H28" s="2">
        <v>23</v>
      </c>
      <c r="I28" s="2">
        <v>223</v>
      </c>
      <c r="J28" s="2">
        <v>500</v>
      </c>
      <c r="K28" s="3">
        <v>0.49199999999999999</v>
      </c>
      <c r="L28" s="3">
        <v>0.50800000000000001</v>
      </c>
      <c r="O28" s="6"/>
    </row>
    <row r="29" spans="1:15" x14ac:dyDescent="0.35">
      <c r="A29" s="2" t="s">
        <v>47</v>
      </c>
      <c r="B29" s="9" t="s">
        <v>187</v>
      </c>
      <c r="C29" s="2" t="s">
        <v>19</v>
      </c>
      <c r="D29" s="2">
        <v>91</v>
      </c>
      <c r="E29" s="2">
        <v>74</v>
      </c>
      <c r="F29" s="2">
        <v>87</v>
      </c>
      <c r="G29" s="2">
        <v>35</v>
      </c>
      <c r="H29" s="2">
        <v>29</v>
      </c>
      <c r="I29" s="2">
        <v>287</v>
      </c>
      <c r="J29" s="2">
        <v>500</v>
      </c>
      <c r="K29" s="3">
        <v>0.63200000000000001</v>
      </c>
      <c r="L29" s="3">
        <v>0.36799999999999999</v>
      </c>
      <c r="O29" s="6"/>
    </row>
    <row r="30" spans="1:15" x14ac:dyDescent="0.35">
      <c r="A30" s="2" t="s">
        <v>48</v>
      </c>
      <c r="B30" s="9" t="s">
        <v>163</v>
      </c>
      <c r="C30" s="2" t="s">
        <v>21</v>
      </c>
      <c r="D30" s="2">
        <v>30</v>
      </c>
      <c r="E30" s="2">
        <v>79</v>
      </c>
      <c r="F30" s="2">
        <v>77</v>
      </c>
      <c r="G30" s="2">
        <v>10</v>
      </c>
      <c r="H30" s="2">
        <v>86</v>
      </c>
      <c r="I30" s="2">
        <v>196</v>
      </c>
      <c r="J30" s="2">
        <v>500</v>
      </c>
      <c r="K30" s="3">
        <v>0.56399999999999995</v>
      </c>
      <c r="L30" s="3">
        <v>0.43600000000000011</v>
      </c>
      <c r="O30" s="6"/>
    </row>
    <row r="31" spans="1:15" x14ac:dyDescent="0.35">
      <c r="A31" s="2" t="s">
        <v>49</v>
      </c>
      <c r="B31" s="9" t="s">
        <v>178</v>
      </c>
      <c r="C31" s="2" t="s">
        <v>23</v>
      </c>
      <c r="D31" s="2">
        <v>72</v>
      </c>
      <c r="E31" s="2">
        <v>12</v>
      </c>
      <c r="F31" s="2">
        <v>24</v>
      </c>
      <c r="G31" s="2">
        <v>56</v>
      </c>
      <c r="H31" s="2">
        <v>49</v>
      </c>
      <c r="I31" s="2">
        <v>164</v>
      </c>
      <c r="J31" s="2">
        <v>475</v>
      </c>
      <c r="K31" s="3">
        <v>0.44842105263157889</v>
      </c>
      <c r="L31" s="3">
        <v>0.55157894736842106</v>
      </c>
      <c r="O31" s="6"/>
    </row>
    <row r="32" spans="1:15" x14ac:dyDescent="0.35">
      <c r="A32" s="2" t="s">
        <v>50</v>
      </c>
      <c r="B32" s="9" t="s">
        <v>188</v>
      </c>
      <c r="C32" s="2" t="s">
        <v>25</v>
      </c>
      <c r="D32" s="2">
        <v>17</v>
      </c>
      <c r="E32" s="2">
        <v>40</v>
      </c>
      <c r="F32" s="2">
        <v>82</v>
      </c>
      <c r="G32" s="2">
        <v>20</v>
      </c>
      <c r="H32" s="2">
        <v>20</v>
      </c>
      <c r="I32" s="2">
        <v>159</v>
      </c>
      <c r="J32" s="2">
        <v>525</v>
      </c>
      <c r="K32" s="3">
        <v>0.34095238095238101</v>
      </c>
      <c r="L32" s="3">
        <v>0.6590476190476191</v>
      </c>
      <c r="O32" s="6"/>
    </row>
    <row r="33" spans="1:15" x14ac:dyDescent="0.35">
      <c r="A33" s="2" t="s">
        <v>51</v>
      </c>
      <c r="B33" s="9" t="s">
        <v>189</v>
      </c>
      <c r="C33" s="2" t="s">
        <v>27</v>
      </c>
      <c r="D33" s="2">
        <v>18</v>
      </c>
      <c r="E33" s="2">
        <v>78</v>
      </c>
      <c r="F33" s="2">
        <v>26</v>
      </c>
      <c r="G33" s="2">
        <v>26</v>
      </c>
      <c r="H33" s="2">
        <v>94</v>
      </c>
      <c r="I33" s="2">
        <v>148</v>
      </c>
      <c r="J33" s="2">
        <v>525</v>
      </c>
      <c r="K33" s="3">
        <v>0.46095238095238089</v>
      </c>
      <c r="L33" s="3">
        <v>0.539047619047619</v>
      </c>
      <c r="O33" s="6"/>
    </row>
    <row r="34" spans="1:15" x14ac:dyDescent="0.35">
      <c r="A34" s="2" t="s">
        <v>52</v>
      </c>
      <c r="B34" s="9" t="s">
        <v>190</v>
      </c>
      <c r="C34" s="2" t="s">
        <v>13</v>
      </c>
      <c r="D34" s="2">
        <v>80</v>
      </c>
      <c r="E34" s="2">
        <v>31</v>
      </c>
      <c r="F34" s="2">
        <v>43</v>
      </c>
      <c r="G34" s="2">
        <v>77</v>
      </c>
      <c r="H34" s="2">
        <v>87</v>
      </c>
      <c r="I34" s="2">
        <v>231</v>
      </c>
      <c r="J34" s="2">
        <v>525</v>
      </c>
      <c r="K34" s="3">
        <v>0.60571428571428576</v>
      </c>
      <c r="L34" s="3">
        <v>0.39428571428571418</v>
      </c>
      <c r="O34" s="6"/>
    </row>
    <row r="35" spans="1:15" x14ac:dyDescent="0.35">
      <c r="A35" s="2" t="s">
        <v>53</v>
      </c>
      <c r="B35" s="9" t="s">
        <v>191</v>
      </c>
      <c r="C35" s="2" t="s">
        <v>15</v>
      </c>
      <c r="D35" s="2">
        <v>37</v>
      </c>
      <c r="E35" s="2">
        <v>79</v>
      </c>
      <c r="F35" s="2">
        <v>98</v>
      </c>
      <c r="G35" s="2">
        <v>35</v>
      </c>
      <c r="H35" s="2">
        <v>49</v>
      </c>
      <c r="I35" s="2">
        <v>249</v>
      </c>
      <c r="J35" s="2">
        <v>525</v>
      </c>
      <c r="K35" s="3">
        <v>0.56761904761904758</v>
      </c>
      <c r="L35" s="3">
        <v>0.43238095238095242</v>
      </c>
      <c r="O35" s="6"/>
    </row>
    <row r="36" spans="1:15" x14ac:dyDescent="0.35">
      <c r="A36" s="2" t="s">
        <v>54</v>
      </c>
      <c r="B36" s="9" t="s">
        <v>166</v>
      </c>
      <c r="C36" s="2" t="s">
        <v>17</v>
      </c>
      <c r="D36" s="2">
        <v>95</v>
      </c>
      <c r="E36" s="2">
        <v>93</v>
      </c>
      <c r="F36" s="2">
        <v>57</v>
      </c>
      <c r="G36" s="2">
        <v>66</v>
      </c>
      <c r="H36" s="2">
        <v>76</v>
      </c>
      <c r="I36" s="2">
        <v>311</v>
      </c>
      <c r="J36" s="2">
        <v>525</v>
      </c>
      <c r="K36" s="3">
        <v>0.7371428571428571</v>
      </c>
      <c r="L36" s="3">
        <v>0.2628571428571429</v>
      </c>
      <c r="O36" s="6"/>
    </row>
    <row r="37" spans="1:15" x14ac:dyDescent="0.35">
      <c r="A37" s="2" t="s">
        <v>55</v>
      </c>
      <c r="B37" s="9" t="s">
        <v>192</v>
      </c>
      <c r="C37" s="2" t="s">
        <v>19</v>
      </c>
      <c r="D37" s="2">
        <v>25</v>
      </c>
      <c r="E37" s="2">
        <v>41</v>
      </c>
      <c r="F37" s="2">
        <v>38</v>
      </c>
      <c r="G37" s="2">
        <v>18</v>
      </c>
      <c r="H37" s="2">
        <v>53</v>
      </c>
      <c r="I37" s="2">
        <v>122</v>
      </c>
      <c r="J37" s="2">
        <v>450</v>
      </c>
      <c r="K37" s="3">
        <v>0.3888888888888889</v>
      </c>
      <c r="L37" s="3">
        <v>0.61111111111111116</v>
      </c>
      <c r="O37" s="6"/>
    </row>
    <row r="38" spans="1:15" x14ac:dyDescent="0.35">
      <c r="A38" s="2" t="s">
        <v>56</v>
      </c>
      <c r="B38" s="9" t="s">
        <v>193</v>
      </c>
      <c r="C38" s="2" t="s">
        <v>21</v>
      </c>
      <c r="D38" s="2">
        <v>85</v>
      </c>
      <c r="E38" s="2">
        <v>80</v>
      </c>
      <c r="F38" s="2">
        <v>39</v>
      </c>
      <c r="G38" s="2">
        <v>85</v>
      </c>
      <c r="H38" s="2">
        <v>38</v>
      </c>
      <c r="I38" s="2">
        <v>289</v>
      </c>
      <c r="J38" s="2">
        <v>450</v>
      </c>
      <c r="K38" s="3">
        <v>0.72666666666666668</v>
      </c>
      <c r="L38" s="3">
        <v>0.27333333333333332</v>
      </c>
      <c r="O38" s="6"/>
    </row>
    <row r="39" spans="1:15" x14ac:dyDescent="0.35">
      <c r="A39" s="2" t="s">
        <v>57</v>
      </c>
      <c r="B39" s="9" t="s">
        <v>194</v>
      </c>
      <c r="C39" s="2" t="s">
        <v>23</v>
      </c>
      <c r="D39" s="2">
        <v>19</v>
      </c>
      <c r="E39" s="2">
        <v>90</v>
      </c>
      <c r="F39" s="2">
        <v>17</v>
      </c>
      <c r="G39" s="2">
        <v>39</v>
      </c>
      <c r="H39" s="2">
        <v>18</v>
      </c>
      <c r="I39" s="2">
        <v>165</v>
      </c>
      <c r="J39" s="2">
        <v>450</v>
      </c>
      <c r="K39" s="3">
        <v>0.40666666666666668</v>
      </c>
      <c r="L39" s="3">
        <v>0.59333333333333327</v>
      </c>
      <c r="O39" s="6"/>
    </row>
    <row r="40" spans="1:15" x14ac:dyDescent="0.35">
      <c r="A40" s="2" t="s">
        <v>58</v>
      </c>
      <c r="B40" s="9" t="s">
        <v>195</v>
      </c>
      <c r="C40" s="2" t="s">
        <v>25</v>
      </c>
      <c r="D40" s="2">
        <v>52</v>
      </c>
      <c r="E40" s="2">
        <v>19</v>
      </c>
      <c r="F40" s="2">
        <v>75</v>
      </c>
      <c r="G40" s="2">
        <v>40</v>
      </c>
      <c r="H40" s="2">
        <v>45</v>
      </c>
      <c r="I40" s="2">
        <v>186</v>
      </c>
      <c r="J40" s="2">
        <v>525</v>
      </c>
      <c r="K40" s="3">
        <v>0.44</v>
      </c>
      <c r="L40" s="3">
        <v>0.56000000000000005</v>
      </c>
      <c r="O40" s="6"/>
    </row>
    <row r="41" spans="1:15" x14ac:dyDescent="0.35">
      <c r="A41" s="2" t="s">
        <v>59</v>
      </c>
      <c r="B41" s="9" t="s">
        <v>176</v>
      </c>
      <c r="C41" s="2" t="s">
        <v>27</v>
      </c>
      <c r="D41" s="2">
        <v>37</v>
      </c>
      <c r="E41" s="2">
        <v>79</v>
      </c>
      <c r="F41" s="2">
        <v>26</v>
      </c>
      <c r="G41" s="2">
        <v>83</v>
      </c>
      <c r="H41" s="2">
        <v>83</v>
      </c>
      <c r="I41" s="2">
        <v>225</v>
      </c>
      <c r="J41" s="2">
        <v>525</v>
      </c>
      <c r="K41" s="3">
        <v>0.58666666666666667</v>
      </c>
      <c r="L41" s="3">
        <v>0.41333333333333327</v>
      </c>
      <c r="O41" s="6"/>
    </row>
    <row r="42" spans="1:15" x14ac:dyDescent="0.35">
      <c r="A42" s="2" t="s">
        <v>60</v>
      </c>
      <c r="B42" s="9" t="s">
        <v>196</v>
      </c>
      <c r="C42" s="2" t="s">
        <v>13</v>
      </c>
      <c r="D42" s="2">
        <v>41</v>
      </c>
      <c r="E42" s="2">
        <v>70</v>
      </c>
      <c r="F42" s="2">
        <v>62</v>
      </c>
      <c r="G42" s="2">
        <v>34</v>
      </c>
      <c r="H42" s="2">
        <v>22</v>
      </c>
      <c r="I42" s="2">
        <v>207</v>
      </c>
      <c r="J42" s="2">
        <v>450</v>
      </c>
      <c r="K42" s="3">
        <v>0.50888888888888884</v>
      </c>
      <c r="L42" s="3">
        <v>0.49111111111111122</v>
      </c>
      <c r="O42" s="6"/>
    </row>
    <row r="43" spans="1:15" x14ac:dyDescent="0.35">
      <c r="A43" s="2" t="s">
        <v>61</v>
      </c>
      <c r="B43" s="9" t="s">
        <v>180</v>
      </c>
      <c r="C43" s="2" t="s">
        <v>15</v>
      </c>
      <c r="D43" s="2">
        <v>94</v>
      </c>
      <c r="E43" s="2">
        <v>65</v>
      </c>
      <c r="F43" s="2">
        <v>55</v>
      </c>
      <c r="G43" s="2">
        <v>64</v>
      </c>
      <c r="H43" s="2">
        <v>62</v>
      </c>
      <c r="I43" s="2">
        <v>278</v>
      </c>
      <c r="J43" s="2">
        <v>525</v>
      </c>
      <c r="K43" s="3">
        <v>0.64761904761904765</v>
      </c>
      <c r="L43" s="3">
        <v>0.35238095238095241</v>
      </c>
      <c r="O43" s="6"/>
    </row>
    <row r="44" spans="1:15" x14ac:dyDescent="0.35">
      <c r="A44" s="2" t="s">
        <v>62</v>
      </c>
      <c r="B44" s="9" t="s">
        <v>176</v>
      </c>
      <c r="C44" s="2" t="s">
        <v>17</v>
      </c>
      <c r="D44" s="2">
        <v>16</v>
      </c>
      <c r="E44" s="2">
        <v>96</v>
      </c>
      <c r="F44" s="2">
        <v>93</v>
      </c>
      <c r="G44" s="2">
        <v>92</v>
      </c>
      <c r="H44" s="2">
        <v>22</v>
      </c>
      <c r="I44" s="2">
        <v>297</v>
      </c>
      <c r="J44" s="2">
        <v>450</v>
      </c>
      <c r="K44" s="3">
        <v>0.7088888888888889</v>
      </c>
      <c r="L44" s="3">
        <v>0.2911111111111111</v>
      </c>
      <c r="O44" s="6"/>
    </row>
    <row r="45" spans="1:15" x14ac:dyDescent="0.35">
      <c r="A45" s="2" t="s">
        <v>63</v>
      </c>
      <c r="B45" s="9" t="s">
        <v>179</v>
      </c>
      <c r="C45" s="2" t="s">
        <v>19</v>
      </c>
      <c r="D45" s="2">
        <v>61</v>
      </c>
      <c r="E45" s="2">
        <v>53</v>
      </c>
      <c r="F45" s="2">
        <v>23</v>
      </c>
      <c r="G45" s="2">
        <v>41</v>
      </c>
      <c r="H45" s="2">
        <v>34</v>
      </c>
      <c r="I45" s="2">
        <v>178</v>
      </c>
      <c r="J45" s="2">
        <v>475</v>
      </c>
      <c r="K45" s="3">
        <v>0.44631578947368422</v>
      </c>
      <c r="L45" s="3">
        <v>0.55368421052631578</v>
      </c>
      <c r="O45" s="6"/>
    </row>
    <row r="46" spans="1:15" x14ac:dyDescent="0.35">
      <c r="A46" s="2" t="s">
        <v>64</v>
      </c>
      <c r="B46" s="9" t="s">
        <v>197</v>
      </c>
      <c r="C46" s="2" t="s">
        <v>21</v>
      </c>
      <c r="D46" s="2">
        <v>78</v>
      </c>
      <c r="E46" s="2">
        <v>67</v>
      </c>
      <c r="F46" s="2">
        <v>27</v>
      </c>
      <c r="G46" s="2">
        <v>66</v>
      </c>
      <c r="H46" s="2">
        <v>33</v>
      </c>
      <c r="I46" s="2">
        <v>238</v>
      </c>
      <c r="J46" s="2">
        <v>500</v>
      </c>
      <c r="K46" s="3">
        <v>0.53800000000000003</v>
      </c>
      <c r="L46" s="3">
        <v>0.46200000000000002</v>
      </c>
      <c r="O46" s="6"/>
    </row>
    <row r="47" spans="1:15" x14ac:dyDescent="0.35">
      <c r="A47" s="2" t="s">
        <v>65</v>
      </c>
      <c r="B47" s="9" t="s">
        <v>198</v>
      </c>
      <c r="C47" s="2" t="s">
        <v>23</v>
      </c>
      <c r="D47" s="2">
        <v>69</v>
      </c>
      <c r="E47" s="2">
        <v>41</v>
      </c>
      <c r="F47" s="2">
        <v>19</v>
      </c>
      <c r="G47" s="2">
        <v>66</v>
      </c>
      <c r="H47" s="2">
        <v>80</v>
      </c>
      <c r="I47" s="2">
        <v>195</v>
      </c>
      <c r="J47" s="2">
        <v>450</v>
      </c>
      <c r="K47" s="3">
        <v>0.61111111111111116</v>
      </c>
      <c r="L47" s="3">
        <v>0.38888888888888878</v>
      </c>
      <c r="O47" s="6"/>
    </row>
    <row r="48" spans="1:15" x14ac:dyDescent="0.35">
      <c r="A48" s="2" t="s">
        <v>66</v>
      </c>
      <c r="B48" s="9" t="s">
        <v>187</v>
      </c>
      <c r="C48" s="2" t="s">
        <v>25</v>
      </c>
      <c r="D48" s="2">
        <v>16</v>
      </c>
      <c r="E48" s="2">
        <v>93</v>
      </c>
      <c r="F48" s="2">
        <v>79</v>
      </c>
      <c r="G48" s="2">
        <v>11</v>
      </c>
      <c r="H48" s="2">
        <v>21</v>
      </c>
      <c r="I48" s="2">
        <v>199</v>
      </c>
      <c r="J48" s="2">
        <v>475</v>
      </c>
      <c r="K48" s="3">
        <v>0.4631578947368421</v>
      </c>
      <c r="L48" s="3">
        <v>0.5368421052631579</v>
      </c>
      <c r="O48" s="6"/>
    </row>
    <row r="49" spans="1:15" x14ac:dyDescent="0.35">
      <c r="A49" s="2" t="s">
        <v>67</v>
      </c>
      <c r="B49" s="9" t="s">
        <v>184</v>
      </c>
      <c r="C49" s="2" t="s">
        <v>27</v>
      </c>
      <c r="D49" s="2">
        <v>31</v>
      </c>
      <c r="E49" s="2">
        <v>62</v>
      </c>
      <c r="F49" s="2">
        <v>72</v>
      </c>
      <c r="G49" s="2">
        <v>71</v>
      </c>
      <c r="H49" s="2">
        <v>37</v>
      </c>
      <c r="I49" s="2">
        <v>236</v>
      </c>
      <c r="J49" s="2">
        <v>525</v>
      </c>
      <c r="K49" s="3">
        <v>0.52</v>
      </c>
      <c r="L49" s="3">
        <v>0.48</v>
      </c>
      <c r="O49" s="6"/>
    </row>
    <row r="50" spans="1:15" x14ac:dyDescent="0.35">
      <c r="A50" s="2" t="s">
        <v>68</v>
      </c>
      <c r="B50" s="9" t="s">
        <v>199</v>
      </c>
      <c r="C50" s="2" t="s">
        <v>13</v>
      </c>
      <c r="D50" s="2">
        <v>17</v>
      </c>
      <c r="E50" s="2">
        <v>31</v>
      </c>
      <c r="F50" s="2">
        <v>58</v>
      </c>
      <c r="G50" s="2">
        <v>10</v>
      </c>
      <c r="H50" s="2">
        <v>59</v>
      </c>
      <c r="I50" s="2">
        <v>116</v>
      </c>
      <c r="J50" s="2">
        <v>500</v>
      </c>
      <c r="K50" s="3">
        <v>0.35</v>
      </c>
      <c r="L50" s="3">
        <v>0.65</v>
      </c>
      <c r="O50" s="6"/>
    </row>
    <row r="51" spans="1:15" x14ac:dyDescent="0.35">
      <c r="A51" s="2" t="s">
        <v>69</v>
      </c>
      <c r="B51" s="9" t="s">
        <v>167</v>
      </c>
      <c r="C51" s="2" t="s">
        <v>15</v>
      </c>
      <c r="D51" s="2">
        <v>68</v>
      </c>
      <c r="E51" s="2">
        <v>46</v>
      </c>
      <c r="F51" s="2">
        <v>64</v>
      </c>
      <c r="G51" s="2">
        <v>99</v>
      </c>
      <c r="H51" s="2">
        <v>81</v>
      </c>
      <c r="I51" s="2">
        <v>277</v>
      </c>
      <c r="J51" s="2">
        <v>525</v>
      </c>
      <c r="K51" s="3">
        <v>0.6819047619047619</v>
      </c>
      <c r="L51" s="3">
        <v>0.3180952380952381</v>
      </c>
      <c r="O51" s="6"/>
    </row>
    <row r="52" spans="1:15" x14ac:dyDescent="0.35">
      <c r="A52" s="2" t="s">
        <v>70</v>
      </c>
      <c r="B52" s="9" t="s">
        <v>185</v>
      </c>
      <c r="C52" s="2" t="s">
        <v>17</v>
      </c>
      <c r="D52" s="2">
        <v>29</v>
      </c>
      <c r="E52" s="2">
        <v>34</v>
      </c>
      <c r="F52" s="2">
        <v>47</v>
      </c>
      <c r="G52" s="2">
        <v>37</v>
      </c>
      <c r="H52" s="2">
        <v>17</v>
      </c>
      <c r="I52" s="2">
        <v>147</v>
      </c>
      <c r="J52" s="2">
        <v>550</v>
      </c>
      <c r="K52" s="3">
        <v>0.29818181818181821</v>
      </c>
      <c r="L52" s="3">
        <v>0.7018181818181819</v>
      </c>
      <c r="O52" s="6"/>
    </row>
    <row r="53" spans="1:15" x14ac:dyDescent="0.35">
      <c r="A53" s="2" t="s">
        <v>71</v>
      </c>
      <c r="B53" s="9" t="s">
        <v>200</v>
      </c>
      <c r="C53" s="2" t="s">
        <v>19</v>
      </c>
      <c r="D53" s="2">
        <v>79</v>
      </c>
      <c r="E53" s="2">
        <v>17</v>
      </c>
      <c r="F53" s="2">
        <v>50</v>
      </c>
      <c r="G53" s="2">
        <v>17</v>
      </c>
      <c r="H53" s="2">
        <v>16</v>
      </c>
      <c r="I53" s="2">
        <v>163</v>
      </c>
      <c r="J53" s="2">
        <v>550</v>
      </c>
      <c r="K53" s="3">
        <v>0.32545454545454539</v>
      </c>
      <c r="L53" s="3">
        <v>0.67454545454545456</v>
      </c>
      <c r="O53" s="6"/>
    </row>
    <row r="54" spans="1:15" x14ac:dyDescent="0.35">
      <c r="A54" s="2" t="s">
        <v>72</v>
      </c>
      <c r="B54" s="9" t="s">
        <v>169</v>
      </c>
      <c r="C54" s="2" t="s">
        <v>21</v>
      </c>
      <c r="D54" s="2">
        <v>71</v>
      </c>
      <c r="E54" s="2">
        <v>74</v>
      </c>
      <c r="F54" s="2">
        <v>77</v>
      </c>
      <c r="G54" s="2">
        <v>30</v>
      </c>
      <c r="H54" s="2">
        <v>17</v>
      </c>
      <c r="I54" s="2">
        <v>252</v>
      </c>
      <c r="J54" s="2">
        <v>550</v>
      </c>
      <c r="K54" s="3">
        <v>0.48909090909090908</v>
      </c>
      <c r="L54" s="3">
        <v>0.51090909090909098</v>
      </c>
      <c r="O54" s="6"/>
    </row>
    <row r="55" spans="1:15" x14ac:dyDescent="0.35">
      <c r="A55" s="2" t="s">
        <v>73</v>
      </c>
      <c r="B55" s="9" t="s">
        <v>171</v>
      </c>
      <c r="C55" s="2" t="s">
        <v>23</v>
      </c>
      <c r="D55" s="2">
        <v>20</v>
      </c>
      <c r="E55" s="2">
        <v>33</v>
      </c>
      <c r="F55" s="2">
        <v>18</v>
      </c>
      <c r="G55" s="2">
        <v>86</v>
      </c>
      <c r="H55" s="2">
        <v>18</v>
      </c>
      <c r="I55" s="2">
        <v>157</v>
      </c>
      <c r="J55" s="2">
        <v>475</v>
      </c>
      <c r="K55" s="3">
        <v>0.36842105263157893</v>
      </c>
      <c r="L55" s="3">
        <v>0.63157894736842102</v>
      </c>
      <c r="O55" s="6"/>
    </row>
    <row r="56" spans="1:15" x14ac:dyDescent="0.35">
      <c r="A56" s="2" t="s">
        <v>74</v>
      </c>
      <c r="B56" s="9" t="s">
        <v>201</v>
      </c>
      <c r="C56" s="2" t="s">
        <v>25</v>
      </c>
      <c r="D56" s="2">
        <v>61</v>
      </c>
      <c r="E56" s="2">
        <v>25</v>
      </c>
      <c r="F56" s="2">
        <v>82</v>
      </c>
      <c r="G56" s="2">
        <v>41</v>
      </c>
      <c r="H56" s="2">
        <v>84</v>
      </c>
      <c r="I56" s="2">
        <v>209</v>
      </c>
      <c r="J56" s="2">
        <v>550</v>
      </c>
      <c r="K56" s="3">
        <v>0.53272727272727272</v>
      </c>
      <c r="L56" s="3">
        <v>0.46727272727272728</v>
      </c>
      <c r="O56" s="6"/>
    </row>
    <row r="57" spans="1:15" x14ac:dyDescent="0.35">
      <c r="A57" s="2" t="s">
        <v>75</v>
      </c>
      <c r="B57" s="9" t="s">
        <v>182</v>
      </c>
      <c r="C57" s="2" t="s">
        <v>27</v>
      </c>
      <c r="D57" s="2">
        <v>15</v>
      </c>
      <c r="E57" s="2">
        <v>89</v>
      </c>
      <c r="F57" s="2">
        <v>20</v>
      </c>
      <c r="G57" s="2">
        <v>63</v>
      </c>
      <c r="H57" s="2">
        <v>94</v>
      </c>
      <c r="I57" s="2">
        <v>187</v>
      </c>
      <c r="J57" s="2">
        <v>550</v>
      </c>
      <c r="K57" s="3">
        <v>0.51090909090909087</v>
      </c>
      <c r="L57" s="3">
        <v>0.48909090909090908</v>
      </c>
      <c r="O57" s="6"/>
    </row>
    <row r="58" spans="1:15" x14ac:dyDescent="0.35">
      <c r="A58" s="2" t="s">
        <v>76</v>
      </c>
      <c r="B58" s="9" t="s">
        <v>202</v>
      </c>
      <c r="C58" s="2" t="s">
        <v>13</v>
      </c>
      <c r="D58" s="2">
        <v>82</v>
      </c>
      <c r="E58" s="2">
        <v>76</v>
      </c>
      <c r="F58" s="2">
        <v>50</v>
      </c>
      <c r="G58" s="2">
        <v>43</v>
      </c>
      <c r="H58" s="2">
        <v>36</v>
      </c>
      <c r="I58" s="2">
        <v>251</v>
      </c>
      <c r="J58" s="2">
        <v>500</v>
      </c>
      <c r="K58" s="3">
        <v>0.57399999999999995</v>
      </c>
      <c r="L58" s="3">
        <v>0.42599999999999999</v>
      </c>
      <c r="O58" s="6"/>
    </row>
    <row r="59" spans="1:15" x14ac:dyDescent="0.35">
      <c r="A59" s="2" t="s">
        <v>77</v>
      </c>
      <c r="B59" s="9" t="s">
        <v>199</v>
      </c>
      <c r="C59" s="2" t="s">
        <v>15</v>
      </c>
      <c r="D59" s="2">
        <v>40</v>
      </c>
      <c r="E59" s="2">
        <v>43</v>
      </c>
      <c r="F59" s="2">
        <v>60</v>
      </c>
      <c r="G59" s="2">
        <v>26</v>
      </c>
      <c r="H59" s="2">
        <v>95</v>
      </c>
      <c r="I59" s="2">
        <v>169</v>
      </c>
      <c r="J59" s="2">
        <v>500</v>
      </c>
      <c r="K59" s="3">
        <v>0.52800000000000002</v>
      </c>
      <c r="L59" s="3">
        <v>0.47199999999999998</v>
      </c>
      <c r="O59" s="6"/>
    </row>
    <row r="60" spans="1:15" x14ac:dyDescent="0.35">
      <c r="A60" s="2" t="s">
        <v>78</v>
      </c>
      <c r="B60" s="9" t="s">
        <v>190</v>
      </c>
      <c r="C60" s="2" t="s">
        <v>17</v>
      </c>
      <c r="D60" s="2">
        <v>68</v>
      </c>
      <c r="E60" s="2">
        <v>50</v>
      </c>
      <c r="F60" s="2">
        <v>19</v>
      </c>
      <c r="G60" s="2">
        <v>11</v>
      </c>
      <c r="H60" s="2">
        <v>68</v>
      </c>
      <c r="I60" s="2">
        <v>148</v>
      </c>
      <c r="J60" s="2">
        <v>550</v>
      </c>
      <c r="K60" s="3">
        <v>0.3927272727272727</v>
      </c>
      <c r="L60" s="3">
        <v>0.6072727272727273</v>
      </c>
      <c r="O60" s="6"/>
    </row>
    <row r="61" spans="1:15" x14ac:dyDescent="0.35">
      <c r="A61" s="2" t="s">
        <v>79</v>
      </c>
      <c r="B61" s="9" t="s">
        <v>164</v>
      </c>
      <c r="C61" s="2" t="s">
        <v>19</v>
      </c>
      <c r="D61" s="2">
        <v>82</v>
      </c>
      <c r="E61" s="2">
        <v>22</v>
      </c>
      <c r="F61" s="2">
        <v>19</v>
      </c>
      <c r="G61" s="2">
        <v>78</v>
      </c>
      <c r="H61" s="2">
        <v>37</v>
      </c>
      <c r="I61" s="2">
        <v>201</v>
      </c>
      <c r="J61" s="2">
        <v>550</v>
      </c>
      <c r="K61" s="3">
        <v>0.43272727272727268</v>
      </c>
      <c r="L61" s="3">
        <v>0.56727272727272726</v>
      </c>
      <c r="O61" s="6"/>
    </row>
    <row r="62" spans="1:15" x14ac:dyDescent="0.35">
      <c r="A62" s="2" t="s">
        <v>80</v>
      </c>
      <c r="B62" s="9" t="s">
        <v>174</v>
      </c>
      <c r="C62" s="2" t="s">
        <v>21</v>
      </c>
      <c r="D62" s="2">
        <v>43</v>
      </c>
      <c r="E62" s="2">
        <v>26</v>
      </c>
      <c r="F62" s="2">
        <v>54</v>
      </c>
      <c r="G62" s="2">
        <v>18</v>
      </c>
      <c r="H62" s="2">
        <v>41</v>
      </c>
      <c r="I62" s="2">
        <v>141</v>
      </c>
      <c r="J62" s="2">
        <v>500</v>
      </c>
      <c r="K62" s="3">
        <v>0.36399999999999999</v>
      </c>
      <c r="L62" s="3">
        <v>0.63600000000000001</v>
      </c>
      <c r="O62" s="6"/>
    </row>
    <row r="63" spans="1:15" x14ac:dyDescent="0.35">
      <c r="A63" s="2" t="s">
        <v>81</v>
      </c>
      <c r="B63" s="9" t="s">
        <v>182</v>
      </c>
      <c r="C63" s="2" t="s">
        <v>23</v>
      </c>
      <c r="D63" s="2">
        <v>46</v>
      </c>
      <c r="E63" s="2">
        <v>30</v>
      </c>
      <c r="F63" s="2">
        <v>66</v>
      </c>
      <c r="G63" s="2">
        <v>79</v>
      </c>
      <c r="H63" s="2">
        <v>48</v>
      </c>
      <c r="I63" s="2">
        <v>221</v>
      </c>
      <c r="J63" s="2">
        <v>550</v>
      </c>
      <c r="K63" s="3">
        <v>0.48909090909090908</v>
      </c>
      <c r="L63" s="3">
        <v>0.51090909090909098</v>
      </c>
      <c r="O63" s="6"/>
    </row>
    <row r="64" spans="1:15" x14ac:dyDescent="0.35">
      <c r="A64" s="2" t="s">
        <v>82</v>
      </c>
      <c r="B64" s="9" t="s">
        <v>201</v>
      </c>
      <c r="C64" s="2" t="s">
        <v>25</v>
      </c>
      <c r="D64" s="2">
        <v>93</v>
      </c>
      <c r="E64" s="2">
        <v>77</v>
      </c>
      <c r="F64" s="2">
        <v>11</v>
      </c>
      <c r="G64" s="2">
        <v>95</v>
      </c>
      <c r="H64" s="2">
        <v>80</v>
      </c>
      <c r="I64" s="2">
        <v>276</v>
      </c>
      <c r="J64" s="2">
        <v>500</v>
      </c>
      <c r="K64" s="3">
        <v>0.71199999999999997</v>
      </c>
      <c r="L64" s="3">
        <v>0.28799999999999998</v>
      </c>
      <c r="O64" s="6"/>
    </row>
    <row r="65" spans="1:15" x14ac:dyDescent="0.35">
      <c r="A65" s="2" t="s">
        <v>83</v>
      </c>
      <c r="B65" s="9" t="s">
        <v>173</v>
      </c>
      <c r="C65" s="2" t="s">
        <v>27</v>
      </c>
      <c r="D65" s="2">
        <v>94</v>
      </c>
      <c r="E65" s="2">
        <v>23</v>
      </c>
      <c r="F65" s="2">
        <v>27</v>
      </c>
      <c r="G65" s="2">
        <v>43</v>
      </c>
      <c r="H65" s="2">
        <v>24</v>
      </c>
      <c r="I65" s="2">
        <v>187</v>
      </c>
      <c r="J65" s="2">
        <v>450</v>
      </c>
      <c r="K65" s="3">
        <v>0.46888888888888891</v>
      </c>
      <c r="L65" s="3">
        <v>0.53111111111111109</v>
      </c>
      <c r="O65" s="6"/>
    </row>
    <row r="66" spans="1:15" x14ac:dyDescent="0.35">
      <c r="A66" s="2" t="s">
        <v>84</v>
      </c>
      <c r="B66" s="9" t="s">
        <v>198</v>
      </c>
      <c r="C66" s="2" t="s">
        <v>13</v>
      </c>
      <c r="D66" s="2">
        <v>80</v>
      </c>
      <c r="E66" s="2">
        <v>29</v>
      </c>
      <c r="F66" s="2">
        <v>44</v>
      </c>
      <c r="G66" s="2">
        <v>46</v>
      </c>
      <c r="H66" s="2">
        <v>87</v>
      </c>
      <c r="I66" s="2">
        <v>199</v>
      </c>
      <c r="J66" s="2">
        <v>475</v>
      </c>
      <c r="K66" s="3">
        <v>0.6021052631578947</v>
      </c>
      <c r="L66" s="3">
        <v>0.3978947368421053</v>
      </c>
      <c r="O66" s="6"/>
    </row>
    <row r="67" spans="1:15" x14ac:dyDescent="0.35">
      <c r="A67" s="2" t="s">
        <v>85</v>
      </c>
      <c r="B67" s="9" t="s">
        <v>188</v>
      </c>
      <c r="C67" s="2" t="s">
        <v>15</v>
      </c>
      <c r="D67" s="2">
        <v>53</v>
      </c>
      <c r="E67" s="2">
        <v>36</v>
      </c>
      <c r="F67" s="2">
        <v>97</v>
      </c>
      <c r="G67" s="2">
        <v>91</v>
      </c>
      <c r="H67" s="2">
        <v>43</v>
      </c>
      <c r="I67" s="2">
        <v>277</v>
      </c>
      <c r="J67" s="2">
        <v>550</v>
      </c>
      <c r="K67" s="3">
        <v>0.58181818181818179</v>
      </c>
      <c r="L67" s="3">
        <v>0.41818181818181821</v>
      </c>
      <c r="O67" s="6"/>
    </row>
    <row r="68" spans="1:15" x14ac:dyDescent="0.35">
      <c r="A68" s="2" t="s">
        <v>86</v>
      </c>
      <c r="B68" s="9" t="s">
        <v>202</v>
      </c>
      <c r="C68" s="2" t="s">
        <v>17</v>
      </c>
      <c r="D68" s="2">
        <v>72</v>
      </c>
      <c r="E68" s="2">
        <v>42</v>
      </c>
      <c r="F68" s="2">
        <v>16</v>
      </c>
      <c r="G68" s="2">
        <v>21</v>
      </c>
      <c r="H68" s="2">
        <v>91</v>
      </c>
      <c r="I68" s="2">
        <v>151</v>
      </c>
      <c r="J68" s="2">
        <v>525</v>
      </c>
      <c r="K68" s="3">
        <v>0.46095238095238089</v>
      </c>
      <c r="L68" s="3">
        <v>0.539047619047619</v>
      </c>
      <c r="O68" s="6"/>
    </row>
    <row r="69" spans="1:15" x14ac:dyDescent="0.35">
      <c r="A69" s="2" t="s">
        <v>87</v>
      </c>
      <c r="B69" s="9" t="s">
        <v>166</v>
      </c>
      <c r="C69" s="2" t="s">
        <v>19</v>
      </c>
      <c r="D69" s="2">
        <v>45</v>
      </c>
      <c r="E69" s="2">
        <v>15</v>
      </c>
      <c r="F69" s="2">
        <v>10</v>
      </c>
      <c r="G69" s="2">
        <v>52</v>
      </c>
      <c r="H69" s="2">
        <v>26</v>
      </c>
      <c r="I69" s="2">
        <v>122</v>
      </c>
      <c r="J69" s="2">
        <v>500</v>
      </c>
      <c r="K69" s="3">
        <v>0.29599999999999999</v>
      </c>
      <c r="L69" s="3">
        <v>0.70399999999999996</v>
      </c>
      <c r="O69" s="6"/>
    </row>
    <row r="70" spans="1:15" x14ac:dyDescent="0.35">
      <c r="A70" s="2" t="s">
        <v>88</v>
      </c>
      <c r="B70" s="9" t="s">
        <v>201</v>
      </c>
      <c r="C70" s="2" t="s">
        <v>21</v>
      </c>
      <c r="D70" s="2">
        <v>30</v>
      </c>
      <c r="E70" s="2">
        <v>66</v>
      </c>
      <c r="F70" s="2">
        <v>80</v>
      </c>
      <c r="G70" s="2">
        <v>64</v>
      </c>
      <c r="H70" s="2">
        <v>81</v>
      </c>
      <c r="I70" s="2">
        <v>240</v>
      </c>
      <c r="J70" s="2">
        <v>450</v>
      </c>
      <c r="K70" s="3">
        <v>0.71333333333333337</v>
      </c>
      <c r="L70" s="3">
        <v>0.28666666666666663</v>
      </c>
      <c r="O70" s="6"/>
    </row>
    <row r="71" spans="1:15" x14ac:dyDescent="0.35">
      <c r="A71" s="2" t="s">
        <v>89</v>
      </c>
      <c r="B71" s="9" t="s">
        <v>173</v>
      </c>
      <c r="C71" s="2" t="s">
        <v>23</v>
      </c>
      <c r="D71" s="2">
        <v>24</v>
      </c>
      <c r="E71" s="2">
        <v>19</v>
      </c>
      <c r="F71" s="2">
        <v>98</v>
      </c>
      <c r="G71" s="2">
        <v>29</v>
      </c>
      <c r="H71" s="2">
        <v>79</v>
      </c>
      <c r="I71" s="2">
        <v>175</v>
      </c>
      <c r="J71" s="2">
        <v>450</v>
      </c>
      <c r="K71" s="3">
        <v>0.55333333333333334</v>
      </c>
      <c r="L71" s="3">
        <v>0.44666666666666671</v>
      </c>
      <c r="O71" s="6"/>
    </row>
    <row r="72" spans="1:15" x14ac:dyDescent="0.35">
      <c r="A72" s="2" t="s">
        <v>90</v>
      </c>
      <c r="B72" s="9" t="s">
        <v>165</v>
      </c>
      <c r="C72" s="2" t="s">
        <v>25</v>
      </c>
      <c r="D72" s="2">
        <v>57</v>
      </c>
      <c r="E72" s="2">
        <v>84</v>
      </c>
      <c r="F72" s="2">
        <v>80</v>
      </c>
      <c r="G72" s="2">
        <v>28</v>
      </c>
      <c r="H72" s="2">
        <v>65</v>
      </c>
      <c r="I72" s="2">
        <v>249</v>
      </c>
      <c r="J72" s="2">
        <v>475</v>
      </c>
      <c r="K72" s="3">
        <v>0.66105263157894734</v>
      </c>
      <c r="L72" s="3">
        <v>0.33894736842105272</v>
      </c>
      <c r="O72" s="6"/>
    </row>
    <row r="73" spans="1:15" x14ac:dyDescent="0.35">
      <c r="A73" s="2" t="s">
        <v>91</v>
      </c>
      <c r="B73" s="9" t="s">
        <v>203</v>
      </c>
      <c r="C73" s="2" t="s">
        <v>27</v>
      </c>
      <c r="D73" s="2">
        <v>15</v>
      </c>
      <c r="E73" s="2">
        <v>49</v>
      </c>
      <c r="F73" s="2">
        <v>56</v>
      </c>
      <c r="G73" s="2">
        <v>15</v>
      </c>
      <c r="H73" s="2">
        <v>55</v>
      </c>
      <c r="I73" s="2">
        <v>135</v>
      </c>
      <c r="J73" s="2">
        <v>475</v>
      </c>
      <c r="K73" s="3">
        <v>0.4</v>
      </c>
      <c r="L73" s="3">
        <v>0.6</v>
      </c>
      <c r="O73" s="6"/>
    </row>
    <row r="74" spans="1:15" x14ac:dyDescent="0.35">
      <c r="A74" s="2" t="s">
        <v>92</v>
      </c>
      <c r="B74" s="9" t="s">
        <v>183</v>
      </c>
      <c r="C74" s="2" t="s">
        <v>13</v>
      </c>
      <c r="D74" s="2">
        <v>97</v>
      </c>
      <c r="E74" s="2">
        <v>41</v>
      </c>
      <c r="F74" s="2">
        <v>95</v>
      </c>
      <c r="G74" s="2">
        <v>23</v>
      </c>
      <c r="H74" s="2">
        <v>57</v>
      </c>
      <c r="I74" s="2">
        <v>258</v>
      </c>
      <c r="J74" s="2">
        <v>550</v>
      </c>
      <c r="K74" s="3">
        <v>0.56545454545454543</v>
      </c>
      <c r="L74" s="3">
        <v>0.43454545454545462</v>
      </c>
      <c r="O74" s="6"/>
    </row>
    <row r="75" spans="1:15" x14ac:dyDescent="0.35">
      <c r="A75" s="2" t="s">
        <v>93</v>
      </c>
      <c r="B75" s="9" t="s">
        <v>188</v>
      </c>
      <c r="C75" s="2" t="s">
        <v>15</v>
      </c>
      <c r="D75" s="2">
        <v>62</v>
      </c>
      <c r="E75" s="2">
        <v>89</v>
      </c>
      <c r="F75" s="2">
        <v>29</v>
      </c>
      <c r="G75" s="2">
        <v>40</v>
      </c>
      <c r="H75" s="2">
        <v>30</v>
      </c>
      <c r="I75" s="2">
        <v>220</v>
      </c>
      <c r="J75" s="2">
        <v>475</v>
      </c>
      <c r="K75" s="3">
        <v>0.52631578947368418</v>
      </c>
      <c r="L75" s="3">
        <v>0.47368421052631582</v>
      </c>
      <c r="O75" s="6"/>
    </row>
    <row r="76" spans="1:15" x14ac:dyDescent="0.35">
      <c r="A76" s="2" t="s">
        <v>94</v>
      </c>
      <c r="B76" s="9" t="s">
        <v>174</v>
      </c>
      <c r="C76" s="2" t="s">
        <v>17</v>
      </c>
      <c r="D76" s="2">
        <v>62</v>
      </c>
      <c r="E76" s="2">
        <v>13</v>
      </c>
      <c r="F76" s="2">
        <v>32</v>
      </c>
      <c r="G76" s="2">
        <v>52</v>
      </c>
      <c r="H76" s="2">
        <v>62</v>
      </c>
      <c r="I76" s="2">
        <v>159</v>
      </c>
      <c r="J76" s="2">
        <v>475</v>
      </c>
      <c r="K76" s="3">
        <v>0.46526315789473682</v>
      </c>
      <c r="L76" s="3">
        <v>0.53473684210526318</v>
      </c>
      <c r="O76" s="6"/>
    </row>
    <row r="77" spans="1:15" x14ac:dyDescent="0.35">
      <c r="A77" s="2" t="s">
        <v>95</v>
      </c>
      <c r="B77" s="9" t="s">
        <v>184</v>
      </c>
      <c r="C77" s="2" t="s">
        <v>19</v>
      </c>
      <c r="D77" s="2">
        <v>44</v>
      </c>
      <c r="E77" s="2">
        <v>30</v>
      </c>
      <c r="F77" s="2">
        <v>99</v>
      </c>
      <c r="G77" s="2">
        <v>23</v>
      </c>
      <c r="H77" s="2">
        <v>58</v>
      </c>
      <c r="I77" s="2">
        <v>196</v>
      </c>
      <c r="J77" s="2">
        <v>450</v>
      </c>
      <c r="K77" s="3">
        <v>0.56444444444444442</v>
      </c>
      <c r="L77" s="3">
        <v>0.43555555555555558</v>
      </c>
      <c r="O77" s="6"/>
    </row>
    <row r="78" spans="1:15" x14ac:dyDescent="0.35">
      <c r="A78" s="2" t="s">
        <v>96</v>
      </c>
      <c r="B78" s="9" t="s">
        <v>204</v>
      </c>
      <c r="C78" s="2" t="s">
        <v>21</v>
      </c>
      <c r="D78" s="2">
        <v>70</v>
      </c>
      <c r="E78" s="2">
        <v>38</v>
      </c>
      <c r="F78" s="2">
        <v>35</v>
      </c>
      <c r="G78" s="2">
        <v>68</v>
      </c>
      <c r="H78" s="2">
        <v>54</v>
      </c>
      <c r="I78" s="2">
        <v>211</v>
      </c>
      <c r="J78" s="2">
        <v>500</v>
      </c>
      <c r="K78" s="3">
        <v>0.53</v>
      </c>
      <c r="L78" s="3">
        <v>0.47</v>
      </c>
      <c r="O78" s="6"/>
    </row>
    <row r="79" spans="1:15" x14ac:dyDescent="0.35">
      <c r="A79" s="2" t="s">
        <v>97</v>
      </c>
      <c r="B79" s="9" t="s">
        <v>193</v>
      </c>
      <c r="C79" s="2" t="s">
        <v>23</v>
      </c>
      <c r="D79" s="2">
        <v>39</v>
      </c>
      <c r="E79" s="2">
        <v>38</v>
      </c>
      <c r="F79" s="2">
        <v>13</v>
      </c>
      <c r="G79" s="2">
        <v>94</v>
      </c>
      <c r="H79" s="2">
        <v>34</v>
      </c>
      <c r="I79" s="2">
        <v>184</v>
      </c>
      <c r="J79" s="2">
        <v>525</v>
      </c>
      <c r="K79" s="3">
        <v>0.41523809523809518</v>
      </c>
      <c r="L79" s="3">
        <v>0.58476190476190482</v>
      </c>
      <c r="O79" s="6"/>
    </row>
    <row r="80" spans="1:15" x14ac:dyDescent="0.35">
      <c r="A80" s="2" t="s">
        <v>98</v>
      </c>
      <c r="B80" s="9" t="s">
        <v>192</v>
      </c>
      <c r="C80" s="2" t="s">
        <v>25</v>
      </c>
      <c r="D80" s="2">
        <v>52</v>
      </c>
      <c r="E80" s="2">
        <v>45</v>
      </c>
      <c r="F80" s="2">
        <v>18</v>
      </c>
      <c r="G80" s="2">
        <v>45</v>
      </c>
      <c r="H80" s="2">
        <v>54</v>
      </c>
      <c r="I80" s="2">
        <v>160</v>
      </c>
      <c r="J80" s="2">
        <v>550</v>
      </c>
      <c r="K80" s="3">
        <v>0.3890909090909091</v>
      </c>
      <c r="L80" s="3">
        <v>0.61090909090909085</v>
      </c>
      <c r="O80" s="6"/>
    </row>
    <row r="81" spans="1:15" x14ac:dyDescent="0.35">
      <c r="A81" s="2" t="s">
        <v>99</v>
      </c>
      <c r="B81" s="9" t="s">
        <v>205</v>
      </c>
      <c r="C81" s="2" t="s">
        <v>27</v>
      </c>
      <c r="D81" s="2">
        <v>61</v>
      </c>
      <c r="E81" s="2">
        <v>96</v>
      </c>
      <c r="F81" s="2">
        <v>78</v>
      </c>
      <c r="G81" s="2">
        <v>52</v>
      </c>
      <c r="H81" s="2">
        <v>13</v>
      </c>
      <c r="I81" s="2">
        <v>287</v>
      </c>
      <c r="J81" s="2">
        <v>450</v>
      </c>
      <c r="K81" s="3">
        <v>0.66666666666666663</v>
      </c>
      <c r="L81" s="3">
        <v>0.33333333333333343</v>
      </c>
      <c r="O81" s="6"/>
    </row>
    <row r="82" spans="1:15" x14ac:dyDescent="0.35">
      <c r="A82" s="2" t="s">
        <v>100</v>
      </c>
      <c r="B82" s="9" t="s">
        <v>200</v>
      </c>
      <c r="C82" s="2" t="s">
        <v>13</v>
      </c>
      <c r="D82" s="2">
        <v>43</v>
      </c>
      <c r="E82" s="2">
        <v>32</v>
      </c>
      <c r="F82" s="2">
        <v>84</v>
      </c>
      <c r="G82" s="2">
        <v>43</v>
      </c>
      <c r="H82" s="2">
        <v>14</v>
      </c>
      <c r="I82" s="2">
        <v>202</v>
      </c>
      <c r="J82" s="2">
        <v>450</v>
      </c>
      <c r="K82" s="3">
        <v>0.48</v>
      </c>
      <c r="L82" s="3">
        <v>0.52</v>
      </c>
      <c r="O82" s="6"/>
    </row>
    <row r="83" spans="1:15" x14ac:dyDescent="0.35">
      <c r="A83" s="2" t="s">
        <v>101</v>
      </c>
      <c r="B83" s="9" t="s">
        <v>172</v>
      </c>
      <c r="C83" s="2" t="s">
        <v>15</v>
      </c>
      <c r="D83" s="2">
        <v>86</v>
      </c>
      <c r="E83" s="2">
        <v>65</v>
      </c>
      <c r="F83" s="2">
        <v>54</v>
      </c>
      <c r="G83" s="2">
        <v>50</v>
      </c>
      <c r="H83" s="2">
        <v>65</v>
      </c>
      <c r="I83" s="2">
        <v>255</v>
      </c>
      <c r="J83" s="2">
        <v>550</v>
      </c>
      <c r="K83" s="3">
        <v>0.58181818181818179</v>
      </c>
      <c r="L83" s="3">
        <v>0.41818181818181821</v>
      </c>
      <c r="O83" s="6"/>
    </row>
    <row r="84" spans="1:15" x14ac:dyDescent="0.35">
      <c r="A84" s="2" t="s">
        <v>102</v>
      </c>
      <c r="B84" s="9" t="s">
        <v>206</v>
      </c>
      <c r="C84" s="2" t="s">
        <v>17</v>
      </c>
      <c r="D84" s="2">
        <v>75</v>
      </c>
      <c r="E84" s="2">
        <v>24</v>
      </c>
      <c r="F84" s="2">
        <v>59</v>
      </c>
      <c r="G84" s="2">
        <v>83</v>
      </c>
      <c r="H84" s="2">
        <v>34</v>
      </c>
      <c r="I84" s="2">
        <v>241</v>
      </c>
      <c r="J84" s="2">
        <v>500</v>
      </c>
      <c r="K84" s="3">
        <v>0.55000000000000004</v>
      </c>
      <c r="L84" s="3">
        <v>0.45</v>
      </c>
      <c r="O84" s="6"/>
    </row>
    <row r="85" spans="1:15" x14ac:dyDescent="0.35">
      <c r="A85" s="2" t="s">
        <v>103</v>
      </c>
      <c r="B85" s="9" t="s">
        <v>194</v>
      </c>
      <c r="C85" s="2" t="s">
        <v>19</v>
      </c>
      <c r="D85" s="2">
        <v>15</v>
      </c>
      <c r="E85" s="2">
        <v>65</v>
      </c>
      <c r="F85" s="2">
        <v>10</v>
      </c>
      <c r="G85" s="2">
        <v>76</v>
      </c>
      <c r="H85" s="2">
        <v>78</v>
      </c>
      <c r="I85" s="2">
        <v>166</v>
      </c>
      <c r="J85" s="2">
        <v>475</v>
      </c>
      <c r="K85" s="3">
        <v>0.51368421052631574</v>
      </c>
      <c r="L85" s="3">
        <v>0.48631578947368431</v>
      </c>
      <c r="O85" s="6"/>
    </row>
    <row r="86" spans="1:15" x14ac:dyDescent="0.35">
      <c r="A86" s="2" t="s">
        <v>104</v>
      </c>
      <c r="B86" s="9" t="s">
        <v>195</v>
      </c>
      <c r="C86" s="2" t="s">
        <v>21</v>
      </c>
      <c r="D86" s="2">
        <v>56</v>
      </c>
      <c r="E86" s="2">
        <v>65</v>
      </c>
      <c r="F86" s="2">
        <v>18</v>
      </c>
      <c r="G86" s="2">
        <v>95</v>
      </c>
      <c r="H86" s="2">
        <v>52</v>
      </c>
      <c r="I86" s="2">
        <v>234</v>
      </c>
      <c r="J86" s="2">
        <v>550</v>
      </c>
      <c r="K86" s="3">
        <v>0.52</v>
      </c>
      <c r="L86" s="3">
        <v>0.48</v>
      </c>
      <c r="O86" s="6"/>
    </row>
    <row r="87" spans="1:15" x14ac:dyDescent="0.35">
      <c r="A87" s="2" t="s">
        <v>105</v>
      </c>
      <c r="B87" s="9" t="s">
        <v>191</v>
      </c>
      <c r="C87" s="2" t="s">
        <v>23</v>
      </c>
      <c r="D87" s="2">
        <v>50</v>
      </c>
      <c r="E87" s="2">
        <v>94</v>
      </c>
      <c r="F87" s="2">
        <v>25</v>
      </c>
      <c r="G87" s="2">
        <v>48</v>
      </c>
      <c r="H87" s="2">
        <v>74</v>
      </c>
      <c r="I87" s="2">
        <v>217</v>
      </c>
      <c r="J87" s="2">
        <v>500</v>
      </c>
      <c r="K87" s="3">
        <v>0.58199999999999996</v>
      </c>
      <c r="L87" s="3">
        <v>0.41799999999999998</v>
      </c>
      <c r="O87" s="6"/>
    </row>
    <row r="88" spans="1:15" x14ac:dyDescent="0.35">
      <c r="A88" s="2" t="s">
        <v>106</v>
      </c>
      <c r="B88" s="9" t="s">
        <v>197</v>
      </c>
      <c r="C88" s="2" t="s">
        <v>25</v>
      </c>
      <c r="D88" s="2">
        <v>95</v>
      </c>
      <c r="E88" s="2">
        <v>62</v>
      </c>
      <c r="F88" s="2">
        <v>51</v>
      </c>
      <c r="G88" s="2">
        <v>61</v>
      </c>
      <c r="H88" s="2">
        <v>99</v>
      </c>
      <c r="I88" s="2">
        <v>269</v>
      </c>
      <c r="J88" s="2">
        <v>500</v>
      </c>
      <c r="K88" s="3">
        <v>0.73599999999999999</v>
      </c>
      <c r="L88" s="3">
        <v>0.26400000000000001</v>
      </c>
      <c r="O88" s="6"/>
    </row>
    <row r="89" spans="1:15" x14ac:dyDescent="0.35">
      <c r="A89" s="2" t="s">
        <v>107</v>
      </c>
      <c r="B89" s="9" t="s">
        <v>189</v>
      </c>
      <c r="C89" s="2" t="s">
        <v>27</v>
      </c>
      <c r="D89" s="2">
        <v>80</v>
      </c>
      <c r="E89" s="2">
        <v>26</v>
      </c>
      <c r="F89" s="2">
        <v>34</v>
      </c>
      <c r="G89" s="2">
        <v>63</v>
      </c>
      <c r="H89" s="2">
        <v>95</v>
      </c>
      <c r="I89" s="2">
        <v>203</v>
      </c>
      <c r="J89" s="2">
        <v>525</v>
      </c>
      <c r="K89" s="3">
        <v>0.56761904761904758</v>
      </c>
      <c r="L89" s="3">
        <v>0.43238095238095242</v>
      </c>
      <c r="O89" s="6"/>
    </row>
    <row r="90" spans="1:15" x14ac:dyDescent="0.35">
      <c r="A90" s="2" t="s">
        <v>108</v>
      </c>
      <c r="B90" s="9" t="s">
        <v>186</v>
      </c>
      <c r="C90" s="2" t="s">
        <v>13</v>
      </c>
      <c r="D90" s="2">
        <v>96</v>
      </c>
      <c r="E90" s="2">
        <v>32</v>
      </c>
      <c r="F90" s="2">
        <v>88</v>
      </c>
      <c r="G90" s="2">
        <v>82</v>
      </c>
      <c r="H90" s="2">
        <v>48</v>
      </c>
      <c r="I90" s="2">
        <v>298</v>
      </c>
      <c r="J90" s="2">
        <v>525</v>
      </c>
      <c r="K90" s="3">
        <v>0.65904761904761899</v>
      </c>
      <c r="L90" s="3">
        <v>0.34095238095238101</v>
      </c>
      <c r="O90" s="6"/>
    </row>
    <row r="91" spans="1:15" x14ac:dyDescent="0.35">
      <c r="A91" s="2" t="s">
        <v>109</v>
      </c>
      <c r="B91" s="9" t="s">
        <v>205</v>
      </c>
      <c r="C91" s="2" t="s">
        <v>15</v>
      </c>
      <c r="D91" s="2">
        <v>80</v>
      </c>
      <c r="E91" s="2">
        <v>10</v>
      </c>
      <c r="F91" s="2">
        <v>48</v>
      </c>
      <c r="G91" s="2">
        <v>46</v>
      </c>
      <c r="H91" s="2">
        <v>36</v>
      </c>
      <c r="I91" s="2">
        <v>184</v>
      </c>
      <c r="J91" s="2">
        <v>525</v>
      </c>
      <c r="K91" s="3">
        <v>0.41904761904761911</v>
      </c>
      <c r="L91" s="3">
        <v>0.58095238095238089</v>
      </c>
      <c r="O91" s="6"/>
    </row>
    <row r="92" spans="1:15" x14ac:dyDescent="0.35">
      <c r="A92" s="2" t="s">
        <v>110</v>
      </c>
      <c r="B92" s="9" t="s">
        <v>187</v>
      </c>
      <c r="C92" s="2" t="s">
        <v>17</v>
      </c>
      <c r="D92" s="2">
        <v>84</v>
      </c>
      <c r="E92" s="2">
        <v>87</v>
      </c>
      <c r="F92" s="2">
        <v>93</v>
      </c>
      <c r="G92" s="2">
        <v>51</v>
      </c>
      <c r="H92" s="2">
        <v>69</v>
      </c>
      <c r="I92" s="2">
        <v>315</v>
      </c>
      <c r="J92" s="2">
        <v>525</v>
      </c>
      <c r="K92" s="3">
        <v>0.73142857142857143</v>
      </c>
      <c r="L92" s="3">
        <v>0.26857142857142863</v>
      </c>
      <c r="O92" s="6"/>
    </row>
    <row r="93" spans="1:15" x14ac:dyDescent="0.35">
      <c r="A93" s="2" t="s">
        <v>111</v>
      </c>
      <c r="B93" s="9" t="s">
        <v>165</v>
      </c>
      <c r="C93" s="2" t="s">
        <v>19</v>
      </c>
      <c r="D93" s="2">
        <v>66</v>
      </c>
      <c r="E93" s="2">
        <v>96</v>
      </c>
      <c r="F93" s="2">
        <v>37</v>
      </c>
      <c r="G93" s="2">
        <v>75</v>
      </c>
      <c r="H93" s="2">
        <v>70</v>
      </c>
      <c r="I93" s="2">
        <v>274</v>
      </c>
      <c r="J93" s="2">
        <v>475</v>
      </c>
      <c r="K93" s="3">
        <v>0.72421052631578953</v>
      </c>
      <c r="L93" s="3">
        <v>0.27578947368421047</v>
      </c>
      <c r="O93" s="6"/>
    </row>
    <row r="94" spans="1:15" x14ac:dyDescent="0.35">
      <c r="A94" s="2" t="s">
        <v>112</v>
      </c>
      <c r="B94" s="9" t="s">
        <v>207</v>
      </c>
      <c r="C94" s="2" t="s">
        <v>21</v>
      </c>
      <c r="D94" s="2">
        <v>94</v>
      </c>
      <c r="E94" s="2">
        <v>20</v>
      </c>
      <c r="F94" s="2">
        <v>46</v>
      </c>
      <c r="G94" s="2">
        <v>75</v>
      </c>
      <c r="H94" s="2">
        <v>94</v>
      </c>
      <c r="I94" s="2">
        <v>235</v>
      </c>
      <c r="J94" s="2">
        <v>550</v>
      </c>
      <c r="K94" s="3">
        <v>0.59818181818181815</v>
      </c>
      <c r="L94" s="3">
        <v>0.40181818181818191</v>
      </c>
      <c r="O94" s="6"/>
    </row>
    <row r="95" spans="1:15" x14ac:dyDescent="0.35">
      <c r="A95" s="2" t="s">
        <v>113</v>
      </c>
      <c r="B95" s="9" t="s">
        <v>189</v>
      </c>
      <c r="C95" s="2" t="s">
        <v>23</v>
      </c>
      <c r="D95" s="2">
        <v>52</v>
      </c>
      <c r="E95" s="2">
        <v>21</v>
      </c>
      <c r="F95" s="2">
        <v>40</v>
      </c>
      <c r="G95" s="2">
        <v>96</v>
      </c>
      <c r="H95" s="2">
        <v>49</v>
      </c>
      <c r="I95" s="2">
        <v>209</v>
      </c>
      <c r="J95" s="2">
        <v>475</v>
      </c>
      <c r="K95" s="3">
        <v>0.54315789473684206</v>
      </c>
      <c r="L95" s="3">
        <v>0.45684210526315788</v>
      </c>
      <c r="O95" s="6"/>
    </row>
    <row r="96" spans="1:15" x14ac:dyDescent="0.35">
      <c r="A96" s="2" t="s">
        <v>114</v>
      </c>
      <c r="B96" s="9" t="s">
        <v>195</v>
      </c>
      <c r="C96" s="2" t="s">
        <v>25</v>
      </c>
      <c r="D96" s="2">
        <v>35</v>
      </c>
      <c r="E96" s="2">
        <v>28</v>
      </c>
      <c r="F96" s="2">
        <v>13</v>
      </c>
      <c r="G96" s="2">
        <v>15</v>
      </c>
      <c r="H96" s="2">
        <v>41</v>
      </c>
      <c r="I96" s="2">
        <v>91</v>
      </c>
      <c r="J96" s="2">
        <v>525</v>
      </c>
      <c r="K96" s="3">
        <v>0.25142857142857139</v>
      </c>
      <c r="L96" s="3">
        <v>0.74857142857142855</v>
      </c>
      <c r="O96" s="6"/>
    </row>
    <row r="97" spans="1:15" x14ac:dyDescent="0.35">
      <c r="A97" s="2" t="s">
        <v>115</v>
      </c>
      <c r="B97" s="9" t="s">
        <v>200</v>
      </c>
      <c r="C97" s="2" t="s">
        <v>27</v>
      </c>
      <c r="D97" s="2">
        <v>88</v>
      </c>
      <c r="E97" s="2">
        <v>19</v>
      </c>
      <c r="F97" s="2">
        <v>68</v>
      </c>
      <c r="G97" s="2">
        <v>63</v>
      </c>
      <c r="H97" s="2">
        <v>90</v>
      </c>
      <c r="I97" s="2">
        <v>238</v>
      </c>
      <c r="J97" s="2">
        <v>550</v>
      </c>
      <c r="K97" s="3">
        <v>0.59636363636363632</v>
      </c>
      <c r="L97" s="3">
        <v>0.40363636363636368</v>
      </c>
      <c r="O97" s="6"/>
    </row>
    <row r="98" spans="1:15" x14ac:dyDescent="0.35">
      <c r="A98" s="2" t="s">
        <v>116</v>
      </c>
      <c r="B98" s="9" t="s">
        <v>198</v>
      </c>
      <c r="C98" s="2" t="s">
        <v>13</v>
      </c>
      <c r="D98" s="2">
        <v>34</v>
      </c>
      <c r="E98" s="2">
        <v>99</v>
      </c>
      <c r="F98" s="2">
        <v>59</v>
      </c>
      <c r="G98" s="2">
        <v>73</v>
      </c>
      <c r="H98" s="2">
        <v>61</v>
      </c>
      <c r="I98" s="2">
        <v>265</v>
      </c>
      <c r="J98" s="2">
        <v>475</v>
      </c>
      <c r="K98" s="3">
        <v>0.68631578947368421</v>
      </c>
      <c r="L98" s="3">
        <v>0.31368421052631579</v>
      </c>
      <c r="O98" s="6"/>
    </row>
    <row r="99" spans="1:15" x14ac:dyDescent="0.35">
      <c r="A99" s="2" t="s">
        <v>117</v>
      </c>
      <c r="B99" s="9" t="s">
        <v>194</v>
      </c>
      <c r="C99" s="2" t="s">
        <v>15</v>
      </c>
      <c r="D99" s="2">
        <v>28</v>
      </c>
      <c r="E99" s="2">
        <v>93</v>
      </c>
      <c r="F99" s="2">
        <v>98</v>
      </c>
      <c r="G99" s="2">
        <v>10</v>
      </c>
      <c r="H99" s="2">
        <v>23</v>
      </c>
      <c r="I99" s="2">
        <v>229</v>
      </c>
      <c r="J99" s="2">
        <v>525</v>
      </c>
      <c r="K99" s="3">
        <v>0.48</v>
      </c>
      <c r="L99" s="3">
        <v>0.52</v>
      </c>
      <c r="O99" s="6"/>
    </row>
    <row r="100" spans="1:15" x14ac:dyDescent="0.35">
      <c r="A100" s="2" t="s">
        <v>118</v>
      </c>
      <c r="B100" s="9" t="s">
        <v>191</v>
      </c>
      <c r="C100" s="2" t="s">
        <v>17</v>
      </c>
      <c r="D100" s="2">
        <v>38</v>
      </c>
      <c r="E100" s="2">
        <v>32</v>
      </c>
      <c r="F100" s="2">
        <v>99</v>
      </c>
      <c r="G100" s="2">
        <v>76</v>
      </c>
      <c r="H100" s="2">
        <v>69</v>
      </c>
      <c r="I100" s="2">
        <v>245</v>
      </c>
      <c r="J100" s="2">
        <v>450</v>
      </c>
      <c r="K100" s="3">
        <v>0.69777777777777783</v>
      </c>
      <c r="L100" s="3">
        <v>0.30222222222222223</v>
      </c>
      <c r="O100" s="6"/>
    </row>
    <row r="101" spans="1:15" x14ac:dyDescent="0.35">
      <c r="A101" s="2" t="s">
        <v>119</v>
      </c>
      <c r="B101" s="9" t="s">
        <v>205</v>
      </c>
      <c r="C101" s="2" t="s">
        <v>19</v>
      </c>
      <c r="D101" s="2">
        <v>81</v>
      </c>
      <c r="E101" s="2">
        <v>41</v>
      </c>
      <c r="F101" s="2">
        <v>25</v>
      </c>
      <c r="G101" s="2">
        <v>68</v>
      </c>
      <c r="H101" s="2">
        <v>27</v>
      </c>
      <c r="I101" s="2">
        <v>215</v>
      </c>
      <c r="J101" s="2">
        <v>525</v>
      </c>
      <c r="K101" s="3">
        <v>0.46095238095238089</v>
      </c>
      <c r="L101" s="3">
        <v>0.539047619047619</v>
      </c>
      <c r="O101" s="6"/>
    </row>
    <row r="102" spans="1:15" x14ac:dyDescent="0.35">
      <c r="A102" s="2" t="s">
        <v>120</v>
      </c>
      <c r="B102" s="9" t="s">
        <v>185</v>
      </c>
      <c r="C102" s="2" t="s">
        <v>21</v>
      </c>
      <c r="D102" s="2">
        <v>95</v>
      </c>
      <c r="E102" s="2">
        <v>77</v>
      </c>
      <c r="F102" s="2">
        <v>81</v>
      </c>
      <c r="G102" s="2">
        <v>86</v>
      </c>
      <c r="H102" s="2">
        <v>50</v>
      </c>
      <c r="I102" s="2">
        <v>339</v>
      </c>
      <c r="J102" s="2">
        <v>525</v>
      </c>
      <c r="K102" s="3">
        <v>0.74095238095238092</v>
      </c>
      <c r="L102" s="3">
        <v>0.25904761904761908</v>
      </c>
      <c r="O102" s="6"/>
    </row>
    <row r="103" spans="1:15" x14ac:dyDescent="0.35">
      <c r="A103" s="2" t="s">
        <v>121</v>
      </c>
      <c r="B103" s="9" t="s">
        <v>181</v>
      </c>
      <c r="C103" s="2" t="s">
        <v>23</v>
      </c>
      <c r="D103" s="2">
        <v>88</v>
      </c>
      <c r="E103" s="2">
        <v>74</v>
      </c>
      <c r="F103" s="2">
        <v>64</v>
      </c>
      <c r="G103" s="2">
        <v>80</v>
      </c>
      <c r="H103" s="2">
        <v>67</v>
      </c>
      <c r="I103" s="2">
        <v>306</v>
      </c>
      <c r="J103" s="2">
        <v>475</v>
      </c>
      <c r="K103" s="3">
        <v>0.78526315789473689</v>
      </c>
      <c r="L103" s="3">
        <v>0.21473684210526309</v>
      </c>
      <c r="O103" s="6"/>
    </row>
    <row r="104" spans="1:15" x14ac:dyDescent="0.35">
      <c r="A104" s="2" t="s">
        <v>122</v>
      </c>
      <c r="B104" s="9" t="s">
        <v>206</v>
      </c>
      <c r="C104" s="2" t="s">
        <v>25</v>
      </c>
      <c r="D104" s="2">
        <v>70</v>
      </c>
      <c r="E104" s="2">
        <v>67</v>
      </c>
      <c r="F104" s="2">
        <v>43</v>
      </c>
      <c r="G104" s="2">
        <v>41</v>
      </c>
      <c r="H104" s="2">
        <v>91</v>
      </c>
      <c r="I104" s="2">
        <v>221</v>
      </c>
      <c r="J104" s="2">
        <v>500</v>
      </c>
      <c r="K104" s="3">
        <v>0.624</v>
      </c>
      <c r="L104" s="3">
        <v>0.376</v>
      </c>
      <c r="O104" s="6"/>
    </row>
    <row r="105" spans="1:15" x14ac:dyDescent="0.35">
      <c r="A105" s="2" t="s">
        <v>123</v>
      </c>
      <c r="B105" s="9" t="s">
        <v>175</v>
      </c>
      <c r="C105" s="2" t="s">
        <v>27</v>
      </c>
      <c r="D105" s="2">
        <v>76</v>
      </c>
      <c r="E105" s="2">
        <v>72</v>
      </c>
      <c r="F105" s="2">
        <v>90</v>
      </c>
      <c r="G105" s="2">
        <v>40</v>
      </c>
      <c r="H105" s="2">
        <v>45</v>
      </c>
      <c r="I105" s="2">
        <v>278</v>
      </c>
      <c r="J105" s="2">
        <v>525</v>
      </c>
      <c r="K105" s="3">
        <v>0.61523809523809525</v>
      </c>
      <c r="L105" s="3">
        <v>0.38476190476190469</v>
      </c>
      <c r="O105" s="6"/>
    </row>
    <row r="106" spans="1:15" x14ac:dyDescent="0.35">
      <c r="A106" s="2" t="s">
        <v>124</v>
      </c>
      <c r="B106" s="9" t="s">
        <v>204</v>
      </c>
      <c r="C106" s="2" t="s">
        <v>13</v>
      </c>
      <c r="D106" s="2">
        <v>19</v>
      </c>
      <c r="E106" s="2">
        <v>46</v>
      </c>
      <c r="F106" s="2">
        <v>40</v>
      </c>
      <c r="G106" s="2">
        <v>44</v>
      </c>
      <c r="H106" s="2">
        <v>52</v>
      </c>
      <c r="I106" s="2">
        <v>149</v>
      </c>
      <c r="J106" s="2">
        <v>500</v>
      </c>
      <c r="K106" s="3">
        <v>0.40200000000000002</v>
      </c>
      <c r="L106" s="3">
        <v>0.59799999999999998</v>
      </c>
      <c r="O106" s="6"/>
    </row>
    <row r="107" spans="1:15" x14ac:dyDescent="0.35">
      <c r="A107" s="2" t="s">
        <v>125</v>
      </c>
      <c r="B107" s="9" t="s">
        <v>177</v>
      </c>
      <c r="C107" s="2" t="s">
        <v>15</v>
      </c>
      <c r="D107" s="2">
        <v>79</v>
      </c>
      <c r="E107" s="2">
        <v>20</v>
      </c>
      <c r="F107" s="2">
        <v>27</v>
      </c>
      <c r="G107" s="2">
        <v>29</v>
      </c>
      <c r="H107" s="2">
        <v>39</v>
      </c>
      <c r="I107" s="2">
        <v>155</v>
      </c>
      <c r="J107" s="2">
        <v>525</v>
      </c>
      <c r="K107" s="3">
        <v>0.36952380952380948</v>
      </c>
      <c r="L107" s="3">
        <v>0.63047619047619041</v>
      </c>
      <c r="O107" s="6"/>
    </row>
    <row r="108" spans="1:15" x14ac:dyDescent="0.35">
      <c r="A108" s="2" t="s">
        <v>126</v>
      </c>
      <c r="B108" s="9" t="s">
        <v>164</v>
      </c>
      <c r="C108" s="2" t="s">
        <v>17</v>
      </c>
      <c r="D108" s="2">
        <v>98</v>
      </c>
      <c r="E108" s="2">
        <v>29</v>
      </c>
      <c r="F108" s="2">
        <v>37</v>
      </c>
      <c r="G108" s="2">
        <v>18</v>
      </c>
      <c r="H108" s="2">
        <v>63</v>
      </c>
      <c r="I108" s="2">
        <v>182</v>
      </c>
      <c r="J108" s="2">
        <v>525</v>
      </c>
      <c r="K108" s="3">
        <v>0.46666666666666667</v>
      </c>
      <c r="L108" s="3">
        <v>0.53333333333333333</v>
      </c>
      <c r="O108" s="6"/>
    </row>
    <row r="109" spans="1:15" x14ac:dyDescent="0.35">
      <c r="A109" s="2" t="s">
        <v>127</v>
      </c>
      <c r="B109" s="9" t="s">
        <v>186</v>
      </c>
      <c r="C109" s="2" t="s">
        <v>19</v>
      </c>
      <c r="D109" s="2">
        <v>52</v>
      </c>
      <c r="E109" s="2">
        <v>79</v>
      </c>
      <c r="F109" s="2">
        <v>69</v>
      </c>
      <c r="G109" s="2">
        <v>63</v>
      </c>
      <c r="H109" s="2">
        <v>17</v>
      </c>
      <c r="I109" s="2">
        <v>263</v>
      </c>
      <c r="J109" s="2">
        <v>475</v>
      </c>
      <c r="K109" s="3">
        <v>0.58947368421052626</v>
      </c>
      <c r="L109" s="3">
        <v>0.41052631578947368</v>
      </c>
      <c r="O109" s="6"/>
    </row>
    <row r="110" spans="1:15" x14ac:dyDescent="0.35">
      <c r="A110" s="2" t="s">
        <v>128</v>
      </c>
      <c r="B110" s="9" t="s">
        <v>192</v>
      </c>
      <c r="C110" s="2" t="s">
        <v>21</v>
      </c>
      <c r="D110" s="2">
        <v>63</v>
      </c>
      <c r="E110" s="2">
        <v>59</v>
      </c>
      <c r="F110" s="2">
        <v>84</v>
      </c>
      <c r="G110" s="2">
        <v>99</v>
      </c>
      <c r="H110" s="2">
        <v>12</v>
      </c>
      <c r="I110" s="2">
        <v>305</v>
      </c>
      <c r="J110" s="2">
        <v>550</v>
      </c>
      <c r="K110" s="3">
        <v>0.57636363636363641</v>
      </c>
      <c r="L110" s="3">
        <v>0.42363636363636359</v>
      </c>
      <c r="O110" s="6"/>
    </row>
    <row r="111" spans="1:15" x14ac:dyDescent="0.35">
      <c r="A111" s="2" t="s">
        <v>129</v>
      </c>
      <c r="B111" s="9" t="s">
        <v>208</v>
      </c>
      <c r="C111" s="2" t="s">
        <v>23</v>
      </c>
      <c r="D111" s="2">
        <v>58</v>
      </c>
      <c r="E111" s="2">
        <v>71</v>
      </c>
      <c r="F111" s="2">
        <v>10</v>
      </c>
      <c r="G111" s="2">
        <v>55</v>
      </c>
      <c r="H111" s="2">
        <v>48</v>
      </c>
      <c r="I111" s="2">
        <v>194</v>
      </c>
      <c r="J111" s="2">
        <v>525</v>
      </c>
      <c r="K111" s="3">
        <v>0.46095238095238089</v>
      </c>
      <c r="L111" s="3">
        <v>0.539047619047619</v>
      </c>
      <c r="O111" s="6"/>
    </row>
    <row r="112" spans="1:15" x14ac:dyDescent="0.35">
      <c r="A112" s="2" t="s">
        <v>130</v>
      </c>
      <c r="B112" s="9" t="s">
        <v>171</v>
      </c>
      <c r="C112" s="2" t="s">
        <v>25</v>
      </c>
      <c r="D112" s="2">
        <v>63</v>
      </c>
      <c r="E112" s="2">
        <v>78</v>
      </c>
      <c r="F112" s="2">
        <v>79</v>
      </c>
      <c r="G112" s="2">
        <v>87</v>
      </c>
      <c r="H112" s="2">
        <v>38</v>
      </c>
      <c r="I112" s="2">
        <v>307</v>
      </c>
      <c r="J112" s="2">
        <v>525</v>
      </c>
      <c r="K112" s="3">
        <v>0.65714285714285714</v>
      </c>
      <c r="L112" s="3">
        <v>0.34285714285714292</v>
      </c>
      <c r="O112" s="6"/>
    </row>
    <row r="113" spans="1:15" x14ac:dyDescent="0.35">
      <c r="A113" s="2" t="s">
        <v>131</v>
      </c>
      <c r="B113" s="9" t="s">
        <v>196</v>
      </c>
      <c r="C113" s="2" t="s">
        <v>27</v>
      </c>
      <c r="D113" s="2">
        <v>38</v>
      </c>
      <c r="E113" s="2">
        <v>44</v>
      </c>
      <c r="F113" s="2">
        <v>65</v>
      </c>
      <c r="G113" s="2">
        <v>72</v>
      </c>
      <c r="H113" s="2">
        <v>13</v>
      </c>
      <c r="I113" s="2">
        <v>219</v>
      </c>
      <c r="J113" s="2">
        <v>525</v>
      </c>
      <c r="K113" s="3">
        <v>0.44190476190476191</v>
      </c>
      <c r="L113" s="3">
        <v>0.55809523809523809</v>
      </c>
      <c r="O113" s="6"/>
    </row>
    <row r="114" spans="1:15" x14ac:dyDescent="0.35">
      <c r="A114" s="2" t="s">
        <v>132</v>
      </c>
      <c r="B114" s="9" t="s">
        <v>202</v>
      </c>
      <c r="C114" s="2" t="s">
        <v>13</v>
      </c>
      <c r="D114" s="2">
        <v>53</v>
      </c>
      <c r="E114" s="2">
        <v>95</v>
      </c>
      <c r="F114" s="2">
        <v>96</v>
      </c>
      <c r="G114" s="2">
        <v>61</v>
      </c>
      <c r="H114" s="2">
        <v>31</v>
      </c>
      <c r="I114" s="2">
        <v>305</v>
      </c>
      <c r="J114" s="2">
        <v>525</v>
      </c>
      <c r="K114" s="3">
        <v>0.64</v>
      </c>
      <c r="L114" s="3">
        <v>0.36</v>
      </c>
      <c r="O114" s="6"/>
    </row>
    <row r="115" spans="1:15" x14ac:dyDescent="0.35">
      <c r="A115" s="2" t="s">
        <v>133</v>
      </c>
      <c r="B115" s="9" t="s">
        <v>207</v>
      </c>
      <c r="C115" s="2" t="s">
        <v>15</v>
      </c>
      <c r="D115" s="2">
        <v>26</v>
      </c>
      <c r="E115" s="2">
        <v>89</v>
      </c>
      <c r="F115" s="2">
        <v>78</v>
      </c>
      <c r="G115" s="2">
        <v>13</v>
      </c>
      <c r="H115" s="2">
        <v>60</v>
      </c>
      <c r="I115" s="2">
        <v>206</v>
      </c>
      <c r="J115" s="2">
        <v>550</v>
      </c>
      <c r="K115" s="3">
        <v>0.48363636363636359</v>
      </c>
      <c r="L115" s="3">
        <v>0.51636363636363636</v>
      </c>
      <c r="O115" s="6"/>
    </row>
    <row r="116" spans="1:15" x14ac:dyDescent="0.35">
      <c r="A116" s="2" t="s">
        <v>134</v>
      </c>
      <c r="B116" s="9" t="s">
        <v>170</v>
      </c>
      <c r="C116" s="2" t="s">
        <v>17</v>
      </c>
      <c r="D116" s="2">
        <v>82</v>
      </c>
      <c r="E116" s="2">
        <v>94</v>
      </c>
      <c r="F116" s="2">
        <v>13</v>
      </c>
      <c r="G116" s="2">
        <v>20</v>
      </c>
      <c r="H116" s="2">
        <v>92</v>
      </c>
      <c r="I116" s="2">
        <v>209</v>
      </c>
      <c r="J116" s="2">
        <v>525</v>
      </c>
      <c r="K116" s="3">
        <v>0.57333333333333336</v>
      </c>
      <c r="L116" s="3">
        <v>0.42666666666666658</v>
      </c>
      <c r="O116" s="6"/>
    </row>
    <row r="117" spans="1:15" x14ac:dyDescent="0.35">
      <c r="A117" s="2" t="s">
        <v>135</v>
      </c>
      <c r="B117" s="9" t="s">
        <v>163</v>
      </c>
      <c r="C117" s="2" t="s">
        <v>19</v>
      </c>
      <c r="D117" s="2">
        <v>27</v>
      </c>
      <c r="E117" s="2">
        <v>69</v>
      </c>
      <c r="F117" s="2">
        <v>33</v>
      </c>
      <c r="G117" s="2">
        <v>16</v>
      </c>
      <c r="H117" s="2">
        <v>43</v>
      </c>
      <c r="I117" s="2">
        <v>145</v>
      </c>
      <c r="J117" s="2">
        <v>525</v>
      </c>
      <c r="K117" s="3">
        <v>0.35809523809523808</v>
      </c>
      <c r="L117" s="3">
        <v>0.64190476190476198</v>
      </c>
      <c r="O117" s="6"/>
    </row>
    <row r="118" spans="1:15" x14ac:dyDescent="0.35">
      <c r="A118" s="2" t="s">
        <v>136</v>
      </c>
      <c r="B118" s="9" t="s">
        <v>206</v>
      </c>
      <c r="C118" s="2" t="s">
        <v>21</v>
      </c>
      <c r="D118" s="2">
        <v>51</v>
      </c>
      <c r="E118" s="2">
        <v>37</v>
      </c>
      <c r="F118" s="2">
        <v>68</v>
      </c>
      <c r="G118" s="2">
        <v>51</v>
      </c>
      <c r="H118" s="2">
        <v>53</v>
      </c>
      <c r="I118" s="2">
        <v>207</v>
      </c>
      <c r="J118" s="2">
        <v>525</v>
      </c>
      <c r="K118" s="3">
        <v>0.49523809523809531</v>
      </c>
      <c r="L118" s="3">
        <v>0.50476190476190474</v>
      </c>
      <c r="O118" s="6"/>
    </row>
    <row r="119" spans="1:15" x14ac:dyDescent="0.35">
      <c r="A119" s="2" t="s">
        <v>137</v>
      </c>
      <c r="B119" s="9" t="s">
        <v>172</v>
      </c>
      <c r="C119" s="2" t="s">
        <v>23</v>
      </c>
      <c r="D119" s="2">
        <v>45</v>
      </c>
      <c r="E119" s="2">
        <v>63</v>
      </c>
      <c r="F119" s="2">
        <v>42</v>
      </c>
      <c r="G119" s="2">
        <v>20</v>
      </c>
      <c r="H119" s="2">
        <v>70</v>
      </c>
      <c r="I119" s="2">
        <v>170</v>
      </c>
      <c r="J119" s="2">
        <v>450</v>
      </c>
      <c r="K119" s="3">
        <v>0.53333333333333333</v>
      </c>
      <c r="L119" s="3">
        <v>0.46666666666666667</v>
      </c>
      <c r="O119" s="6"/>
    </row>
    <row r="120" spans="1:15" x14ac:dyDescent="0.35">
      <c r="A120" s="2" t="s">
        <v>138</v>
      </c>
      <c r="B120" s="9" t="s">
        <v>207</v>
      </c>
      <c r="C120" s="2" t="s">
        <v>25</v>
      </c>
      <c r="D120" s="2">
        <v>79</v>
      </c>
      <c r="E120" s="2">
        <v>16</v>
      </c>
      <c r="F120" s="2">
        <v>54</v>
      </c>
      <c r="G120" s="2">
        <v>38</v>
      </c>
      <c r="H120" s="2">
        <v>93</v>
      </c>
      <c r="I120" s="2">
        <v>187</v>
      </c>
      <c r="J120" s="2">
        <v>450</v>
      </c>
      <c r="K120" s="3">
        <v>0.62222222222222223</v>
      </c>
      <c r="L120" s="3">
        <v>0.37777777777777782</v>
      </c>
      <c r="O120" s="6"/>
    </row>
    <row r="121" spans="1:15" x14ac:dyDescent="0.35">
      <c r="A121" s="2" t="s">
        <v>139</v>
      </c>
      <c r="B121" s="9" t="s">
        <v>203</v>
      </c>
      <c r="C121" s="2" t="s">
        <v>27</v>
      </c>
      <c r="D121" s="2">
        <v>93</v>
      </c>
      <c r="E121" s="2">
        <v>15</v>
      </c>
      <c r="F121" s="2">
        <v>13</v>
      </c>
      <c r="G121" s="2">
        <v>41</v>
      </c>
      <c r="H121" s="2">
        <v>35</v>
      </c>
      <c r="I121" s="2">
        <v>162</v>
      </c>
      <c r="J121" s="2">
        <v>450</v>
      </c>
      <c r="K121" s="3">
        <v>0.43777777777777782</v>
      </c>
      <c r="L121" s="3">
        <v>0.56222222222222218</v>
      </c>
      <c r="O121" s="6"/>
    </row>
    <row r="122" spans="1:15" x14ac:dyDescent="0.35">
      <c r="A122" s="2" t="s">
        <v>140</v>
      </c>
      <c r="B122" s="9" t="s">
        <v>203</v>
      </c>
      <c r="C122" s="2" t="s">
        <v>13</v>
      </c>
      <c r="D122" s="2">
        <v>89</v>
      </c>
      <c r="E122" s="2">
        <v>29</v>
      </c>
      <c r="F122" s="2">
        <v>40</v>
      </c>
      <c r="G122" s="2">
        <v>26</v>
      </c>
      <c r="H122" s="2">
        <v>70</v>
      </c>
      <c r="I122" s="2">
        <v>184</v>
      </c>
      <c r="J122" s="2">
        <v>450</v>
      </c>
      <c r="K122" s="3">
        <v>0.56444444444444442</v>
      </c>
      <c r="L122" s="3">
        <v>0.43555555555555558</v>
      </c>
      <c r="O122" s="6"/>
    </row>
    <row r="123" spans="1:15" x14ac:dyDescent="0.35">
      <c r="A123" s="2" t="s">
        <v>141</v>
      </c>
      <c r="B123" s="9" t="s">
        <v>178</v>
      </c>
      <c r="C123" s="2" t="s">
        <v>15</v>
      </c>
      <c r="D123" s="2">
        <v>82</v>
      </c>
      <c r="E123" s="2">
        <v>37</v>
      </c>
      <c r="F123" s="2">
        <v>69</v>
      </c>
      <c r="G123" s="2">
        <v>99</v>
      </c>
      <c r="H123" s="2">
        <v>42</v>
      </c>
      <c r="I123" s="2">
        <v>287</v>
      </c>
      <c r="J123" s="2">
        <v>500</v>
      </c>
      <c r="K123" s="3">
        <v>0.65800000000000003</v>
      </c>
      <c r="L123" s="3">
        <v>0.34200000000000003</v>
      </c>
      <c r="O123" s="6"/>
    </row>
    <row r="124" spans="1:15" x14ac:dyDescent="0.35">
      <c r="A124" s="2" t="s">
        <v>142</v>
      </c>
      <c r="B124" s="9" t="s">
        <v>180</v>
      </c>
      <c r="C124" s="2" t="s">
        <v>17</v>
      </c>
      <c r="D124" s="2">
        <v>31</v>
      </c>
      <c r="E124" s="2">
        <v>87</v>
      </c>
      <c r="F124" s="2">
        <v>87</v>
      </c>
      <c r="G124" s="2">
        <v>24</v>
      </c>
      <c r="H124" s="2">
        <v>30</v>
      </c>
      <c r="I124" s="2">
        <v>229</v>
      </c>
      <c r="J124" s="2">
        <v>500</v>
      </c>
      <c r="K124" s="3">
        <v>0.51800000000000002</v>
      </c>
      <c r="L124" s="3">
        <v>0.48199999999999998</v>
      </c>
      <c r="O124" s="6"/>
    </row>
    <row r="125" spans="1:15" x14ac:dyDescent="0.35">
      <c r="A125" s="2" t="s">
        <v>143</v>
      </c>
      <c r="B125" s="9" t="s">
        <v>181</v>
      </c>
      <c r="C125" s="2" t="s">
        <v>19</v>
      </c>
      <c r="D125" s="2">
        <v>23</v>
      </c>
      <c r="E125" s="2">
        <v>84</v>
      </c>
      <c r="F125" s="2">
        <v>13</v>
      </c>
      <c r="G125" s="2">
        <v>49</v>
      </c>
      <c r="H125" s="2">
        <v>83</v>
      </c>
      <c r="I125" s="2">
        <v>169</v>
      </c>
      <c r="J125" s="2">
        <v>525</v>
      </c>
      <c r="K125" s="3">
        <v>0.48</v>
      </c>
      <c r="L125" s="3">
        <v>0.52</v>
      </c>
      <c r="O125" s="6"/>
    </row>
    <row r="126" spans="1:15" x14ac:dyDescent="0.35">
      <c r="A126" s="2" t="s">
        <v>144</v>
      </c>
      <c r="B126" s="9" t="s">
        <v>196</v>
      </c>
      <c r="C126" s="2" t="s">
        <v>21</v>
      </c>
      <c r="D126" s="2">
        <v>60</v>
      </c>
      <c r="E126" s="2">
        <v>35</v>
      </c>
      <c r="F126" s="2">
        <v>19</v>
      </c>
      <c r="G126" s="2">
        <v>85</v>
      </c>
      <c r="H126" s="2">
        <v>98</v>
      </c>
      <c r="I126" s="2">
        <v>199</v>
      </c>
      <c r="J126" s="2">
        <v>475</v>
      </c>
      <c r="K126" s="3">
        <v>0.62526315789473685</v>
      </c>
      <c r="L126" s="3">
        <v>0.37473684210526309</v>
      </c>
      <c r="O126" s="6"/>
    </row>
    <row r="127" spans="1:15" x14ac:dyDescent="0.35">
      <c r="A127" s="2" t="s">
        <v>145</v>
      </c>
      <c r="B127" s="9" t="s">
        <v>193</v>
      </c>
      <c r="C127" s="2" t="s">
        <v>23</v>
      </c>
      <c r="D127" s="2">
        <v>23</v>
      </c>
      <c r="E127" s="2">
        <v>99</v>
      </c>
      <c r="F127" s="2">
        <v>48</v>
      </c>
      <c r="G127" s="2">
        <v>97</v>
      </c>
      <c r="H127" s="2">
        <v>86</v>
      </c>
      <c r="I127" s="2">
        <v>267</v>
      </c>
      <c r="J127" s="2">
        <v>450</v>
      </c>
      <c r="K127" s="3">
        <v>0.7844444444444445</v>
      </c>
      <c r="L127" s="3">
        <v>0.2155555555555555</v>
      </c>
      <c r="O127" s="6"/>
    </row>
    <row r="128" spans="1:15" x14ac:dyDescent="0.35">
      <c r="A128" s="2" t="s">
        <v>146</v>
      </c>
      <c r="B128" s="9" t="s">
        <v>208</v>
      </c>
      <c r="C128" s="2" t="s">
        <v>25</v>
      </c>
      <c r="D128" s="2">
        <v>82</v>
      </c>
      <c r="E128" s="2">
        <v>15</v>
      </c>
      <c r="F128" s="2">
        <v>54</v>
      </c>
      <c r="G128" s="2">
        <v>78</v>
      </c>
      <c r="H128" s="2">
        <v>64</v>
      </c>
      <c r="I128" s="2">
        <v>229</v>
      </c>
      <c r="J128" s="2">
        <v>500</v>
      </c>
      <c r="K128" s="3">
        <v>0.58599999999999997</v>
      </c>
      <c r="L128" s="3">
        <v>0.41399999999999998</v>
      </c>
      <c r="O128" s="6"/>
    </row>
    <row r="129" spans="1:15" x14ac:dyDescent="0.35">
      <c r="A129" s="2" t="s">
        <v>147</v>
      </c>
      <c r="B129" s="9" t="s">
        <v>170</v>
      </c>
      <c r="C129" s="2" t="s">
        <v>27</v>
      </c>
      <c r="D129" s="2">
        <v>18</v>
      </c>
      <c r="E129" s="2">
        <v>74</v>
      </c>
      <c r="F129" s="2">
        <v>92</v>
      </c>
      <c r="G129" s="2">
        <v>53</v>
      </c>
      <c r="H129" s="2">
        <v>11</v>
      </c>
      <c r="I129" s="2">
        <v>237</v>
      </c>
      <c r="J129" s="2">
        <v>525</v>
      </c>
      <c r="K129" s="3">
        <v>0.4723809523809524</v>
      </c>
      <c r="L129" s="3">
        <v>0.52761904761904765</v>
      </c>
      <c r="O129" s="6"/>
    </row>
    <row r="130" spans="1:15" x14ac:dyDescent="0.35">
      <c r="A130" s="2" t="s">
        <v>148</v>
      </c>
      <c r="B130" s="9" t="s">
        <v>175</v>
      </c>
      <c r="C130" s="2" t="s">
        <v>13</v>
      </c>
      <c r="D130" s="2">
        <v>72</v>
      </c>
      <c r="E130" s="2">
        <v>23</v>
      </c>
      <c r="F130" s="2">
        <v>65</v>
      </c>
      <c r="G130" s="2">
        <v>56</v>
      </c>
      <c r="H130" s="2">
        <v>91</v>
      </c>
      <c r="I130" s="2">
        <v>216</v>
      </c>
      <c r="J130" s="2">
        <v>525</v>
      </c>
      <c r="K130" s="3">
        <v>0.58476190476190482</v>
      </c>
      <c r="L130" s="3">
        <v>0.41523809523809518</v>
      </c>
      <c r="O130" s="6"/>
    </row>
    <row r="131" spans="1:15" x14ac:dyDescent="0.35">
      <c r="A131" s="2" t="s">
        <v>149</v>
      </c>
      <c r="B131" s="9" t="s">
        <v>168</v>
      </c>
      <c r="C131" s="2" t="s">
        <v>15</v>
      </c>
      <c r="D131" s="2">
        <v>29</v>
      </c>
      <c r="E131" s="2">
        <v>65</v>
      </c>
      <c r="F131" s="2">
        <v>32</v>
      </c>
      <c r="G131" s="2">
        <v>76</v>
      </c>
      <c r="H131" s="2">
        <v>93</v>
      </c>
      <c r="I131" s="2">
        <v>202</v>
      </c>
      <c r="J131" s="2">
        <v>500</v>
      </c>
      <c r="K131" s="3">
        <v>0.59</v>
      </c>
      <c r="L131" s="3">
        <v>0.41</v>
      </c>
      <c r="O131" s="6"/>
    </row>
    <row r="132" spans="1:15" x14ac:dyDescent="0.35">
      <c r="A132" s="2" t="s">
        <v>150</v>
      </c>
      <c r="B132" s="9" t="s">
        <v>197</v>
      </c>
      <c r="C132" s="2" t="s">
        <v>17</v>
      </c>
      <c r="D132" s="2">
        <v>88</v>
      </c>
      <c r="E132" s="2">
        <v>78</v>
      </c>
      <c r="F132" s="2">
        <v>71</v>
      </c>
      <c r="G132" s="2">
        <v>69</v>
      </c>
      <c r="H132" s="2">
        <v>65</v>
      </c>
      <c r="I132" s="2">
        <v>306</v>
      </c>
      <c r="J132" s="2">
        <v>550</v>
      </c>
      <c r="K132" s="3">
        <v>0.67454545454545456</v>
      </c>
      <c r="L132" s="3">
        <v>0.32545454545454539</v>
      </c>
      <c r="O132" s="6"/>
    </row>
    <row r="133" spans="1:15" x14ac:dyDescent="0.35">
      <c r="A133" s="2" t="s">
        <v>151</v>
      </c>
      <c r="B133" s="9" t="s">
        <v>190</v>
      </c>
      <c r="C133" s="2" t="s">
        <v>19</v>
      </c>
      <c r="D133" s="2">
        <v>44</v>
      </c>
      <c r="E133" s="2">
        <v>51</v>
      </c>
      <c r="F133" s="2">
        <v>41</v>
      </c>
      <c r="G133" s="2">
        <v>21</v>
      </c>
      <c r="H133" s="2">
        <v>45</v>
      </c>
      <c r="I133" s="2">
        <v>157</v>
      </c>
      <c r="J133" s="2">
        <v>525</v>
      </c>
      <c r="K133" s="3">
        <v>0.38476190476190469</v>
      </c>
      <c r="L133" s="3">
        <v>0.61523809523809525</v>
      </c>
      <c r="O133" s="6"/>
    </row>
    <row r="134" spans="1:15" x14ac:dyDescent="0.35">
      <c r="A134" s="2" t="s">
        <v>152</v>
      </c>
      <c r="B134" s="9" t="s">
        <v>183</v>
      </c>
      <c r="C134" s="2" t="s">
        <v>21</v>
      </c>
      <c r="D134" s="2">
        <v>41</v>
      </c>
      <c r="E134" s="2">
        <v>69</v>
      </c>
      <c r="F134" s="2">
        <v>82</v>
      </c>
      <c r="G134" s="2">
        <v>88</v>
      </c>
      <c r="H134" s="2">
        <v>95</v>
      </c>
      <c r="I134" s="2">
        <v>280</v>
      </c>
      <c r="J134" s="2">
        <v>525</v>
      </c>
      <c r="K134" s="3">
        <v>0.7142857142857143</v>
      </c>
      <c r="L134" s="3">
        <v>0.2857142857142857</v>
      </c>
      <c r="O134" s="6"/>
    </row>
    <row r="135" spans="1:15" x14ac:dyDescent="0.35">
      <c r="A135" s="2" t="s">
        <v>153</v>
      </c>
      <c r="B135" s="9" t="s">
        <v>208</v>
      </c>
      <c r="C135" s="2" t="s">
        <v>23</v>
      </c>
      <c r="D135" s="2">
        <v>53</v>
      </c>
      <c r="E135" s="2">
        <v>13</v>
      </c>
      <c r="F135" s="2">
        <v>73</v>
      </c>
      <c r="G135" s="2">
        <v>51</v>
      </c>
      <c r="H135" s="2">
        <v>33</v>
      </c>
      <c r="I135" s="2">
        <v>190</v>
      </c>
      <c r="J135" s="2">
        <v>525</v>
      </c>
      <c r="K135" s="3">
        <v>0.42476190476190478</v>
      </c>
      <c r="L135" s="3">
        <v>0.57523809523809522</v>
      </c>
      <c r="O135" s="6"/>
    </row>
    <row r="136" spans="1:15" x14ac:dyDescent="0.35">
      <c r="A136" s="2" t="s">
        <v>154</v>
      </c>
      <c r="B136" s="9" t="s">
        <v>168</v>
      </c>
      <c r="C136" s="2" t="s">
        <v>25</v>
      </c>
      <c r="D136" s="2">
        <v>37</v>
      </c>
      <c r="E136" s="2">
        <v>55</v>
      </c>
      <c r="F136" s="2">
        <v>43</v>
      </c>
      <c r="G136" s="2">
        <v>53</v>
      </c>
      <c r="H136" s="2">
        <v>45</v>
      </c>
      <c r="I136" s="2">
        <v>188</v>
      </c>
      <c r="J136" s="2">
        <v>550</v>
      </c>
      <c r="K136" s="3">
        <v>0.42363636363636359</v>
      </c>
      <c r="L136" s="3">
        <v>0.57636363636363641</v>
      </c>
      <c r="O136" s="6"/>
    </row>
    <row r="137" spans="1:15" x14ac:dyDescent="0.35">
      <c r="A137" s="2" t="s">
        <v>155</v>
      </c>
      <c r="B137" s="9" t="s">
        <v>204</v>
      </c>
      <c r="C137" s="2" t="s">
        <v>27</v>
      </c>
      <c r="D137" s="2">
        <v>99</v>
      </c>
      <c r="E137" s="2">
        <v>45</v>
      </c>
      <c r="F137" s="2">
        <v>81</v>
      </c>
      <c r="G137" s="2">
        <v>11</v>
      </c>
      <c r="H137" s="2">
        <v>76</v>
      </c>
      <c r="I137" s="2">
        <v>236</v>
      </c>
      <c r="J137" s="2">
        <v>475</v>
      </c>
      <c r="K137" s="3">
        <v>0.65684210526315789</v>
      </c>
      <c r="L137" s="3">
        <v>0.34315789473684211</v>
      </c>
      <c r="O137" s="6"/>
    </row>
    <row r="138" spans="1:15" x14ac:dyDescent="0.35">
      <c r="A138" s="2" t="s">
        <v>156</v>
      </c>
      <c r="B138" s="9" t="s">
        <v>199</v>
      </c>
      <c r="C138" s="2" t="s">
        <v>13</v>
      </c>
      <c r="D138" s="2">
        <v>20</v>
      </c>
      <c r="E138" s="2">
        <v>40</v>
      </c>
      <c r="F138" s="2">
        <v>62</v>
      </c>
      <c r="G138" s="2">
        <v>72</v>
      </c>
      <c r="H138" s="2">
        <v>81</v>
      </c>
      <c r="I138" s="2">
        <v>194</v>
      </c>
      <c r="J138" s="2">
        <v>475</v>
      </c>
      <c r="K138" s="3">
        <v>0.57894736842105265</v>
      </c>
      <c r="L138" s="3">
        <v>0.42105263157894729</v>
      </c>
      <c r="O138" s="6"/>
    </row>
    <row r="139" spans="1:15" x14ac:dyDescent="0.35">
      <c r="A139" s="2" t="s">
        <v>157</v>
      </c>
      <c r="B139" s="9" t="s">
        <v>169</v>
      </c>
      <c r="C139" s="2" t="s">
        <v>15</v>
      </c>
      <c r="D139" s="2">
        <v>98</v>
      </c>
      <c r="E139" s="2">
        <v>70</v>
      </c>
      <c r="F139" s="2">
        <v>92</v>
      </c>
      <c r="G139" s="2">
        <v>72</v>
      </c>
      <c r="H139" s="2">
        <v>67</v>
      </c>
      <c r="I139" s="2">
        <v>332</v>
      </c>
      <c r="J139" s="2">
        <v>450</v>
      </c>
      <c r="K139" s="3">
        <v>0.88666666666666671</v>
      </c>
      <c r="L139" s="3">
        <v>0.1133333333333333</v>
      </c>
      <c r="O139" s="6"/>
    </row>
    <row r="140" spans="1:15" x14ac:dyDescent="0.35">
      <c r="A140" s="2" t="s">
        <v>158</v>
      </c>
      <c r="B140" s="9" t="s">
        <v>175</v>
      </c>
      <c r="C140" s="2" t="s">
        <v>17</v>
      </c>
      <c r="D140" s="2">
        <v>21</v>
      </c>
      <c r="E140" s="2">
        <v>47</v>
      </c>
      <c r="F140" s="2">
        <v>38</v>
      </c>
      <c r="G140" s="2">
        <v>61</v>
      </c>
      <c r="H140" s="2">
        <v>98</v>
      </c>
      <c r="I140" s="2">
        <v>167</v>
      </c>
      <c r="J140" s="2">
        <v>475</v>
      </c>
      <c r="K140" s="3">
        <v>0.55789473684210522</v>
      </c>
      <c r="L140" s="3">
        <v>0.44210526315789478</v>
      </c>
      <c r="O140" s="6"/>
    </row>
    <row r="141" spans="1:15" x14ac:dyDescent="0.35">
      <c r="A141" s="2" t="s">
        <v>159</v>
      </c>
      <c r="B141" s="9" t="s">
        <v>193</v>
      </c>
      <c r="C141" s="2" t="s">
        <v>19</v>
      </c>
      <c r="D141" s="2">
        <v>49</v>
      </c>
      <c r="E141" s="2">
        <v>94</v>
      </c>
      <c r="F141" s="2">
        <v>84</v>
      </c>
      <c r="G141" s="2">
        <v>57</v>
      </c>
      <c r="H141" s="2">
        <v>70</v>
      </c>
      <c r="I141" s="2">
        <v>284</v>
      </c>
      <c r="J141" s="2">
        <v>550</v>
      </c>
      <c r="K141" s="3">
        <v>0.64363636363636367</v>
      </c>
      <c r="L141" s="3">
        <v>0.35636363636363633</v>
      </c>
      <c r="O141" s="6"/>
    </row>
    <row r="142" spans="1:15" x14ac:dyDescent="0.35">
      <c r="A142" s="2" t="s">
        <v>160</v>
      </c>
      <c r="B142" s="9" t="s">
        <v>176</v>
      </c>
      <c r="C142" s="2" t="s">
        <v>21</v>
      </c>
      <c r="D142" s="2">
        <v>77</v>
      </c>
      <c r="E142" s="2">
        <v>54</v>
      </c>
      <c r="F142" s="2">
        <v>64</v>
      </c>
      <c r="G142" s="2">
        <v>80</v>
      </c>
      <c r="H142" s="2">
        <v>52</v>
      </c>
      <c r="I142" s="2">
        <v>275</v>
      </c>
      <c r="J142" s="2">
        <v>500</v>
      </c>
      <c r="K142" s="3">
        <v>0.65400000000000003</v>
      </c>
      <c r="L142" s="3">
        <v>0.34599999999999997</v>
      </c>
      <c r="O142" s="6"/>
    </row>
    <row r="143" spans="1:15" x14ac:dyDescent="0.35">
      <c r="B143" s="6"/>
      <c r="O143" s="6"/>
    </row>
    <row r="144" spans="1:15" x14ac:dyDescent="0.35">
      <c r="B144" s="6"/>
      <c r="O144" s="6"/>
    </row>
    <row r="145" spans="2:15" x14ac:dyDescent="0.35">
      <c r="B145" s="6"/>
      <c r="O145" s="6"/>
    </row>
    <row r="146" spans="2:15" x14ac:dyDescent="0.35">
      <c r="B146" s="6"/>
      <c r="O146" s="6"/>
    </row>
    <row r="147" spans="2:15" x14ac:dyDescent="0.35">
      <c r="B147" s="6"/>
      <c r="O147" s="6"/>
    </row>
    <row r="148" spans="2:15" x14ac:dyDescent="0.35">
      <c r="B148" s="6"/>
      <c r="O148" s="6"/>
    </row>
    <row r="149" spans="2:15" x14ac:dyDescent="0.35">
      <c r="B149" s="6"/>
      <c r="O149" s="6"/>
    </row>
    <row r="150" spans="2:15" x14ac:dyDescent="0.35">
      <c r="B150" s="6"/>
      <c r="O150" s="6"/>
    </row>
    <row r="151" spans="2:15" x14ac:dyDescent="0.35">
      <c r="B151" s="6"/>
      <c r="O151" s="6"/>
    </row>
    <row r="152" spans="2:15" x14ac:dyDescent="0.35">
      <c r="B152" s="6"/>
      <c r="O152" s="6"/>
    </row>
    <row r="153" spans="2:15" x14ac:dyDescent="0.35">
      <c r="B153" s="6"/>
      <c r="O153" s="6"/>
    </row>
    <row r="154" spans="2:15" x14ac:dyDescent="0.35">
      <c r="B154" s="6"/>
      <c r="O154" s="6"/>
    </row>
    <row r="155" spans="2:15" x14ac:dyDescent="0.35">
      <c r="B155" s="6"/>
      <c r="O155" s="6"/>
    </row>
    <row r="156" spans="2:15" x14ac:dyDescent="0.35">
      <c r="B156" s="6"/>
      <c r="O156" s="6"/>
    </row>
    <row r="157" spans="2:15" x14ac:dyDescent="0.35">
      <c r="B157" s="6"/>
      <c r="O157" s="6"/>
    </row>
    <row r="158" spans="2:15" x14ac:dyDescent="0.35">
      <c r="B158" s="6"/>
      <c r="O158" s="6"/>
    </row>
    <row r="159" spans="2:15" x14ac:dyDescent="0.35">
      <c r="B159" s="6"/>
      <c r="O159" s="6"/>
    </row>
    <row r="160" spans="2:15" x14ac:dyDescent="0.35">
      <c r="B160" s="6"/>
      <c r="O160" s="6"/>
    </row>
    <row r="161" spans="2:15" x14ac:dyDescent="0.35">
      <c r="B161" s="6"/>
      <c r="O161" s="6"/>
    </row>
    <row r="162" spans="2:15" x14ac:dyDescent="0.35">
      <c r="B162" s="6"/>
      <c r="O162" s="6"/>
    </row>
    <row r="163" spans="2:15" x14ac:dyDescent="0.35">
      <c r="B163" s="6"/>
      <c r="O163" s="6"/>
    </row>
    <row r="164" spans="2:15" x14ac:dyDescent="0.35">
      <c r="B164" s="6"/>
      <c r="O164" s="6"/>
    </row>
    <row r="165" spans="2:15" x14ac:dyDescent="0.35">
      <c r="B165" s="6"/>
      <c r="O165" s="6"/>
    </row>
    <row r="166" spans="2:15" x14ac:dyDescent="0.35">
      <c r="B166" s="6"/>
      <c r="O166" s="6"/>
    </row>
    <row r="167" spans="2:15" x14ac:dyDescent="0.35">
      <c r="B167" s="6"/>
      <c r="O167" s="6"/>
    </row>
    <row r="168" spans="2:15" x14ac:dyDescent="0.35">
      <c r="B168" s="6"/>
      <c r="O168" s="6"/>
    </row>
    <row r="169" spans="2:15" x14ac:dyDescent="0.35">
      <c r="B169" s="6"/>
      <c r="O169" s="6"/>
    </row>
    <row r="170" spans="2:15" x14ac:dyDescent="0.35">
      <c r="B170" s="6"/>
      <c r="O170" s="6"/>
    </row>
    <row r="171" spans="2:15" x14ac:dyDescent="0.35">
      <c r="B171" s="6"/>
      <c r="O171" s="6"/>
    </row>
    <row r="172" spans="2:15" x14ac:dyDescent="0.35">
      <c r="B172" s="6"/>
      <c r="O172" s="6"/>
    </row>
    <row r="173" spans="2:15" x14ac:dyDescent="0.35">
      <c r="B173" s="6"/>
      <c r="O173" s="6"/>
    </row>
    <row r="174" spans="2:15" x14ac:dyDescent="0.35">
      <c r="B174" s="6"/>
      <c r="O174" s="6"/>
    </row>
    <row r="175" spans="2:15" x14ac:dyDescent="0.35">
      <c r="B175" s="6"/>
      <c r="O175" s="6"/>
    </row>
    <row r="176" spans="2:15" x14ac:dyDescent="0.35">
      <c r="B176" s="6"/>
      <c r="O176" s="6"/>
    </row>
    <row r="177" spans="2:15" x14ac:dyDescent="0.35">
      <c r="B177" s="6"/>
      <c r="O177" s="6"/>
    </row>
    <row r="178" spans="2:15" x14ac:dyDescent="0.35">
      <c r="B178" s="6"/>
      <c r="O178" s="6"/>
    </row>
    <row r="179" spans="2:15" x14ac:dyDescent="0.35">
      <c r="B179" s="6"/>
      <c r="O179" s="6"/>
    </row>
    <row r="180" spans="2:15" x14ac:dyDescent="0.35">
      <c r="B180" s="6"/>
      <c r="O180" s="6"/>
    </row>
    <row r="181" spans="2:15" x14ac:dyDescent="0.35">
      <c r="B181" s="6"/>
      <c r="O181" s="6"/>
    </row>
    <row r="182" spans="2:15" x14ac:dyDescent="0.35">
      <c r="B182" s="6"/>
      <c r="O182" s="6"/>
    </row>
    <row r="183" spans="2:15" x14ac:dyDescent="0.35">
      <c r="B183" s="6"/>
      <c r="O183" s="6"/>
    </row>
    <row r="184" spans="2:15" x14ac:dyDescent="0.35">
      <c r="B184" s="6"/>
      <c r="O184" s="6"/>
    </row>
    <row r="185" spans="2:15" x14ac:dyDescent="0.35">
      <c r="B185" s="6"/>
      <c r="O185" s="6"/>
    </row>
    <row r="186" spans="2:15" x14ac:dyDescent="0.35">
      <c r="B186" s="6"/>
      <c r="O186" s="6"/>
    </row>
    <row r="187" spans="2:15" x14ac:dyDescent="0.35">
      <c r="B187" s="6"/>
      <c r="O187" s="6"/>
    </row>
    <row r="188" spans="2:15" x14ac:dyDescent="0.35">
      <c r="B188" s="6"/>
      <c r="O188" s="6"/>
    </row>
    <row r="189" spans="2:15" x14ac:dyDescent="0.35">
      <c r="B189" s="6"/>
      <c r="O189" s="6"/>
    </row>
    <row r="190" spans="2:15" x14ac:dyDescent="0.35">
      <c r="B190" s="6"/>
      <c r="O190" s="6"/>
    </row>
    <row r="191" spans="2:15" x14ac:dyDescent="0.35">
      <c r="B191" s="6"/>
      <c r="O191" s="6"/>
    </row>
    <row r="192" spans="2:15" x14ac:dyDescent="0.35">
      <c r="B192" s="6"/>
      <c r="O192" s="6"/>
    </row>
    <row r="193" spans="2:15" x14ac:dyDescent="0.35">
      <c r="B193" s="6"/>
      <c r="O193" s="6"/>
    </row>
    <row r="194" spans="2:15" x14ac:dyDescent="0.35">
      <c r="B194" s="6"/>
      <c r="O194" s="6"/>
    </row>
    <row r="195" spans="2:15" x14ac:dyDescent="0.35">
      <c r="B195" s="6"/>
      <c r="O195" s="6"/>
    </row>
    <row r="196" spans="2:15" x14ac:dyDescent="0.35">
      <c r="B196" s="6"/>
      <c r="O196" s="6"/>
    </row>
    <row r="197" spans="2:15" x14ac:dyDescent="0.35">
      <c r="B197" s="6"/>
      <c r="O197" s="6"/>
    </row>
    <row r="198" spans="2:15" x14ac:dyDescent="0.35">
      <c r="B198" s="6"/>
      <c r="O198" s="6"/>
    </row>
    <row r="199" spans="2:15" x14ac:dyDescent="0.35">
      <c r="B199" s="6"/>
      <c r="O199" s="6"/>
    </row>
    <row r="200" spans="2:15" x14ac:dyDescent="0.35">
      <c r="B200" s="6"/>
      <c r="O200" s="6"/>
    </row>
    <row r="201" spans="2:15" x14ac:dyDescent="0.35">
      <c r="B201" s="6"/>
      <c r="O201" s="6"/>
    </row>
    <row r="202" spans="2:15" x14ac:dyDescent="0.35">
      <c r="B202" s="6"/>
      <c r="O202" s="6"/>
    </row>
    <row r="203" spans="2:15" x14ac:dyDescent="0.35">
      <c r="B203" s="6"/>
      <c r="O203" s="6"/>
    </row>
    <row r="204" spans="2:15" x14ac:dyDescent="0.35">
      <c r="B204" s="6"/>
      <c r="O204" s="6"/>
    </row>
    <row r="205" spans="2:15" x14ac:dyDescent="0.35">
      <c r="B205" s="6"/>
      <c r="O205" s="6"/>
    </row>
    <row r="206" spans="2:15" x14ac:dyDescent="0.35">
      <c r="B206" s="6"/>
      <c r="O206" s="6"/>
    </row>
    <row r="207" spans="2:15" x14ac:dyDescent="0.35">
      <c r="B207" s="6"/>
      <c r="O207" s="6"/>
    </row>
    <row r="208" spans="2:15" x14ac:dyDescent="0.35">
      <c r="B208" s="6"/>
      <c r="O208" s="6"/>
    </row>
    <row r="209" spans="2:15" x14ac:dyDescent="0.35">
      <c r="B209" s="6"/>
      <c r="O209" s="6"/>
    </row>
    <row r="210" spans="2:15" x14ac:dyDescent="0.35">
      <c r="B210" s="6"/>
      <c r="O210" s="6"/>
    </row>
    <row r="211" spans="2:15" x14ac:dyDescent="0.35">
      <c r="B211" s="6"/>
      <c r="O211" s="6"/>
    </row>
    <row r="212" spans="2:15" x14ac:dyDescent="0.35">
      <c r="B212" s="6"/>
      <c r="O212" s="6"/>
    </row>
    <row r="213" spans="2:15" x14ac:dyDescent="0.35">
      <c r="B213" s="6"/>
      <c r="O213" s="6"/>
    </row>
    <row r="214" spans="2:15" x14ac:dyDescent="0.35">
      <c r="B214" s="6"/>
      <c r="O214" s="6"/>
    </row>
    <row r="215" spans="2:15" x14ac:dyDescent="0.35">
      <c r="B215" s="6"/>
      <c r="O215" s="6"/>
    </row>
    <row r="216" spans="2:15" x14ac:dyDescent="0.35">
      <c r="B216" s="6"/>
      <c r="O216" s="6"/>
    </row>
    <row r="217" spans="2:15" x14ac:dyDescent="0.35">
      <c r="B217" s="6"/>
      <c r="O217" s="6"/>
    </row>
    <row r="218" spans="2:15" x14ac:dyDescent="0.35">
      <c r="B218" s="6"/>
      <c r="O218" s="6"/>
    </row>
    <row r="219" spans="2:15" x14ac:dyDescent="0.35">
      <c r="B219" s="6"/>
      <c r="O219" s="6"/>
    </row>
    <row r="220" spans="2:15" x14ac:dyDescent="0.35">
      <c r="B220" s="6"/>
      <c r="O220" s="6"/>
    </row>
    <row r="221" spans="2:15" x14ac:dyDescent="0.35">
      <c r="B221" s="6"/>
      <c r="O221" s="6"/>
    </row>
    <row r="222" spans="2:15" x14ac:dyDescent="0.35">
      <c r="B222" s="6"/>
      <c r="O222" s="6"/>
    </row>
    <row r="223" spans="2:15" x14ac:dyDescent="0.35">
      <c r="B223" s="6"/>
      <c r="O223" s="6"/>
    </row>
    <row r="224" spans="2:15" x14ac:dyDescent="0.35">
      <c r="B224" s="6"/>
      <c r="O224" s="6"/>
    </row>
    <row r="225" spans="2:15" x14ac:dyDescent="0.35">
      <c r="B225" s="6"/>
      <c r="O225" s="6"/>
    </row>
    <row r="226" spans="2:15" x14ac:dyDescent="0.35">
      <c r="B226" s="6"/>
      <c r="O226" s="6"/>
    </row>
    <row r="227" spans="2:15" x14ac:dyDescent="0.35">
      <c r="B227" s="6"/>
      <c r="O227" s="6"/>
    </row>
    <row r="228" spans="2:15" x14ac:dyDescent="0.35">
      <c r="B228" s="6"/>
      <c r="O228" s="6"/>
    </row>
    <row r="229" spans="2:15" x14ac:dyDescent="0.35">
      <c r="B229" s="6"/>
      <c r="O229" s="6"/>
    </row>
    <row r="230" spans="2:15" x14ac:dyDescent="0.35">
      <c r="B230" s="6"/>
      <c r="O230" s="6"/>
    </row>
    <row r="231" spans="2:15" x14ac:dyDescent="0.35">
      <c r="B231" s="6"/>
      <c r="O231" s="6"/>
    </row>
    <row r="232" spans="2:15" x14ac:dyDescent="0.35">
      <c r="B232" s="6"/>
      <c r="O232" s="6"/>
    </row>
    <row r="233" spans="2:15" x14ac:dyDescent="0.35">
      <c r="B233" s="6"/>
      <c r="O233" s="6"/>
    </row>
    <row r="234" spans="2:15" x14ac:dyDescent="0.35">
      <c r="B234" s="6"/>
      <c r="O234" s="6"/>
    </row>
    <row r="235" spans="2:15" x14ac:dyDescent="0.35">
      <c r="B235" s="6"/>
      <c r="O235" s="6"/>
    </row>
    <row r="236" spans="2:15" x14ac:dyDescent="0.35">
      <c r="B236" s="6"/>
      <c r="O236" s="6"/>
    </row>
    <row r="237" spans="2:15" x14ac:dyDescent="0.35">
      <c r="B237" s="6"/>
      <c r="O237" s="6"/>
    </row>
    <row r="238" spans="2:15" x14ac:dyDescent="0.35">
      <c r="B238" s="6"/>
      <c r="O238" s="6"/>
    </row>
    <row r="239" spans="2:15" x14ac:dyDescent="0.35">
      <c r="B239" s="6"/>
      <c r="O239" s="6"/>
    </row>
    <row r="240" spans="2:15" x14ac:dyDescent="0.35">
      <c r="B240" s="6"/>
      <c r="O240" s="6"/>
    </row>
    <row r="241" spans="2:15" x14ac:dyDescent="0.35">
      <c r="B241" s="6"/>
      <c r="O241" s="6"/>
    </row>
    <row r="242" spans="2:15" x14ac:dyDescent="0.35">
      <c r="B242" s="6"/>
      <c r="O242" s="6"/>
    </row>
    <row r="243" spans="2:15" x14ac:dyDescent="0.35">
      <c r="B243" s="6"/>
      <c r="O243" s="6"/>
    </row>
    <row r="244" spans="2:15" x14ac:dyDescent="0.35">
      <c r="B244" s="6"/>
      <c r="O244" s="6"/>
    </row>
    <row r="245" spans="2:15" x14ac:dyDescent="0.35">
      <c r="B245" s="6"/>
      <c r="O245" s="6"/>
    </row>
    <row r="246" spans="2:15" x14ac:dyDescent="0.35">
      <c r="B246" s="6"/>
      <c r="O246" s="6"/>
    </row>
    <row r="247" spans="2:15" x14ac:dyDescent="0.35">
      <c r="B247" s="6"/>
      <c r="O247" s="6"/>
    </row>
    <row r="248" spans="2:15" x14ac:dyDescent="0.35">
      <c r="B248" s="6"/>
      <c r="O248" s="6"/>
    </row>
    <row r="249" spans="2:15" x14ac:dyDescent="0.35">
      <c r="B249" s="6"/>
      <c r="O249" s="6"/>
    </row>
    <row r="250" spans="2:15" x14ac:dyDescent="0.35">
      <c r="B250" s="6"/>
      <c r="O250" s="6"/>
    </row>
    <row r="251" spans="2:15" x14ac:dyDescent="0.35">
      <c r="B251" s="6"/>
      <c r="O251" s="6"/>
    </row>
    <row r="252" spans="2:15" x14ac:dyDescent="0.35">
      <c r="B252" s="6"/>
      <c r="O252" s="6"/>
    </row>
    <row r="253" spans="2:15" x14ac:dyDescent="0.35">
      <c r="B253" s="6"/>
      <c r="O253" s="6"/>
    </row>
    <row r="254" spans="2:15" x14ac:dyDescent="0.35">
      <c r="B254" s="6"/>
      <c r="O254" s="6"/>
    </row>
    <row r="255" spans="2:15" x14ac:dyDescent="0.35">
      <c r="B255" s="6"/>
      <c r="O255" s="6"/>
    </row>
    <row r="256" spans="2:15" x14ac:dyDescent="0.35">
      <c r="B256" s="6"/>
      <c r="O256" s="6"/>
    </row>
    <row r="257" spans="2:15" x14ac:dyDescent="0.35">
      <c r="B257" s="6"/>
      <c r="O257" s="6"/>
    </row>
    <row r="258" spans="2:15" x14ac:dyDescent="0.35">
      <c r="B258" s="6"/>
      <c r="O258" s="6"/>
    </row>
    <row r="259" spans="2:15" x14ac:dyDescent="0.35">
      <c r="B259" s="6"/>
      <c r="O259" s="6"/>
    </row>
    <row r="260" spans="2:15" x14ac:dyDescent="0.35">
      <c r="B260" s="6"/>
      <c r="O260" s="6"/>
    </row>
    <row r="261" spans="2:15" x14ac:dyDescent="0.35">
      <c r="B261" s="6"/>
      <c r="O261" s="6"/>
    </row>
    <row r="262" spans="2:15" x14ac:dyDescent="0.35">
      <c r="B262" s="6"/>
      <c r="O262" s="6"/>
    </row>
    <row r="263" spans="2:15" x14ac:dyDescent="0.35">
      <c r="B263" s="6"/>
      <c r="O263" s="6"/>
    </row>
    <row r="264" spans="2:15" x14ac:dyDescent="0.35">
      <c r="B264" s="6"/>
      <c r="O264" s="6"/>
    </row>
    <row r="265" spans="2:15" x14ac:dyDescent="0.35">
      <c r="B265" s="6"/>
      <c r="O265" s="6"/>
    </row>
    <row r="266" spans="2:15" x14ac:dyDescent="0.35">
      <c r="B266" s="6"/>
      <c r="O266" s="6"/>
    </row>
    <row r="267" spans="2:15" x14ac:dyDescent="0.35">
      <c r="B267" s="6"/>
      <c r="O267" s="6"/>
    </row>
    <row r="268" spans="2:15" x14ac:dyDescent="0.35">
      <c r="B268" s="6"/>
      <c r="O268" s="6"/>
    </row>
    <row r="269" spans="2:15" x14ac:dyDescent="0.35">
      <c r="B269" s="6"/>
      <c r="O269" s="6"/>
    </row>
    <row r="270" spans="2:15" x14ac:dyDescent="0.35">
      <c r="B270" s="6"/>
      <c r="O270" s="6"/>
    </row>
    <row r="271" spans="2:15" x14ac:dyDescent="0.35">
      <c r="B271" s="6"/>
      <c r="O271" s="6"/>
    </row>
    <row r="272" spans="2:15" x14ac:dyDescent="0.35">
      <c r="B272" s="6"/>
      <c r="O272" s="6"/>
    </row>
    <row r="273" spans="2:15" x14ac:dyDescent="0.35">
      <c r="B273" s="6"/>
      <c r="O273" s="6"/>
    </row>
    <row r="274" spans="2:15" x14ac:dyDescent="0.35">
      <c r="B274" s="6"/>
      <c r="O274" s="6"/>
    </row>
    <row r="275" spans="2:15" x14ac:dyDescent="0.35">
      <c r="B275" s="6"/>
      <c r="O275" s="6"/>
    </row>
    <row r="276" spans="2:15" x14ac:dyDescent="0.35">
      <c r="B276" s="6"/>
      <c r="O276" s="6"/>
    </row>
    <row r="277" spans="2:15" x14ac:dyDescent="0.35">
      <c r="B277" s="6"/>
      <c r="O277" s="6"/>
    </row>
    <row r="278" spans="2:15" x14ac:dyDescent="0.35">
      <c r="B278" s="6"/>
      <c r="O278" s="6"/>
    </row>
    <row r="279" spans="2:15" x14ac:dyDescent="0.35">
      <c r="B279" s="6"/>
      <c r="O279" s="6"/>
    </row>
    <row r="280" spans="2:15" x14ac:dyDescent="0.35">
      <c r="B280" s="6"/>
      <c r="O280" s="6"/>
    </row>
    <row r="281" spans="2:15" x14ac:dyDescent="0.35">
      <c r="B281" s="6"/>
      <c r="O281" s="6"/>
    </row>
    <row r="282" spans="2:15" x14ac:dyDescent="0.35">
      <c r="B282" s="6"/>
      <c r="O282" s="6"/>
    </row>
    <row r="283" spans="2:15" x14ac:dyDescent="0.35">
      <c r="B283" s="6"/>
      <c r="O283" s="6"/>
    </row>
    <row r="284" spans="2:15" x14ac:dyDescent="0.35">
      <c r="B284" s="6"/>
      <c r="O284" s="6"/>
    </row>
    <row r="285" spans="2:15" x14ac:dyDescent="0.35">
      <c r="B285" s="6"/>
      <c r="O285" s="6"/>
    </row>
    <row r="286" spans="2:15" x14ac:dyDescent="0.35">
      <c r="B286" s="6"/>
      <c r="O286" s="6"/>
    </row>
    <row r="287" spans="2:15" x14ac:dyDescent="0.35">
      <c r="B287" s="6"/>
      <c r="O287" s="6"/>
    </row>
    <row r="288" spans="2:15" x14ac:dyDescent="0.35">
      <c r="B288" s="6"/>
      <c r="O288" s="6"/>
    </row>
    <row r="289" spans="2:15" x14ac:dyDescent="0.35">
      <c r="B289" s="6"/>
      <c r="O289" s="6"/>
    </row>
    <row r="290" spans="2:15" x14ac:dyDescent="0.35">
      <c r="B290" s="6"/>
      <c r="O290" s="6"/>
    </row>
    <row r="291" spans="2:15" x14ac:dyDescent="0.35">
      <c r="B291" s="6"/>
      <c r="O291" s="6"/>
    </row>
    <row r="292" spans="2:15" x14ac:dyDescent="0.35">
      <c r="B292" s="6"/>
      <c r="O292" s="6"/>
    </row>
    <row r="293" spans="2:15" x14ac:dyDescent="0.35">
      <c r="B293" s="6"/>
      <c r="O293" s="6"/>
    </row>
    <row r="294" spans="2:15" x14ac:dyDescent="0.35">
      <c r="B294" s="6"/>
      <c r="O294" s="6"/>
    </row>
    <row r="295" spans="2:15" x14ac:dyDescent="0.35">
      <c r="B295" s="6"/>
      <c r="O295" s="6"/>
    </row>
    <row r="296" spans="2:15" x14ac:dyDescent="0.35">
      <c r="B296" s="6"/>
      <c r="O296" s="6"/>
    </row>
    <row r="297" spans="2:15" x14ac:dyDescent="0.35">
      <c r="B297" s="6"/>
      <c r="O297" s="6"/>
    </row>
    <row r="298" spans="2:15" x14ac:dyDescent="0.35">
      <c r="B298" s="6"/>
      <c r="O298" s="6"/>
    </row>
    <row r="299" spans="2:15" x14ac:dyDescent="0.35">
      <c r="B299" s="6"/>
      <c r="O299" s="6"/>
    </row>
    <row r="300" spans="2:15" x14ac:dyDescent="0.35">
      <c r="B300" s="6"/>
      <c r="O300" s="6"/>
    </row>
    <row r="301" spans="2:15" x14ac:dyDescent="0.35">
      <c r="B301" s="6"/>
      <c r="O301" s="6"/>
    </row>
    <row r="302" spans="2:15" x14ac:dyDescent="0.35">
      <c r="B302" s="6"/>
      <c r="O302" s="6"/>
    </row>
    <row r="303" spans="2:15" x14ac:dyDescent="0.35">
      <c r="B303" s="6"/>
      <c r="O303" s="6"/>
    </row>
    <row r="304" spans="2:15" x14ac:dyDescent="0.35">
      <c r="B304" s="6"/>
      <c r="O304" s="6"/>
    </row>
    <row r="305" spans="2:15" x14ac:dyDescent="0.35">
      <c r="B305" s="6"/>
      <c r="O305" s="6"/>
    </row>
    <row r="306" spans="2:15" x14ac:dyDescent="0.35">
      <c r="B306" s="6"/>
      <c r="O306" s="6"/>
    </row>
    <row r="307" spans="2:15" x14ac:dyDescent="0.35">
      <c r="B307" s="6"/>
      <c r="O307" s="6"/>
    </row>
    <row r="308" spans="2:15" x14ac:dyDescent="0.35">
      <c r="B308" s="6"/>
      <c r="O308" s="6"/>
    </row>
    <row r="309" spans="2:15" x14ac:dyDescent="0.35">
      <c r="B309" s="6"/>
      <c r="O309" s="6"/>
    </row>
    <row r="310" spans="2:15" x14ac:dyDescent="0.35">
      <c r="B310" s="6"/>
      <c r="O310" s="6"/>
    </row>
    <row r="311" spans="2:15" x14ac:dyDescent="0.35">
      <c r="B311" s="6"/>
      <c r="O311" s="6"/>
    </row>
    <row r="312" spans="2:15" x14ac:dyDescent="0.35">
      <c r="B312" s="6"/>
      <c r="O312" s="6"/>
    </row>
    <row r="313" spans="2:15" x14ac:dyDescent="0.35">
      <c r="B313" s="6"/>
      <c r="O313" s="6"/>
    </row>
    <row r="314" spans="2:15" x14ac:dyDescent="0.35">
      <c r="B314" s="6"/>
      <c r="O314" s="6"/>
    </row>
    <row r="315" spans="2:15" x14ac:dyDescent="0.35">
      <c r="B315" s="6"/>
      <c r="O315" s="6"/>
    </row>
    <row r="316" spans="2:15" x14ac:dyDescent="0.35">
      <c r="B316" s="6"/>
      <c r="O316" s="6"/>
    </row>
    <row r="317" spans="2:15" x14ac:dyDescent="0.35">
      <c r="B317" s="6"/>
      <c r="O317" s="6"/>
    </row>
    <row r="318" spans="2:15" x14ac:dyDescent="0.35">
      <c r="B318" s="6"/>
      <c r="O318" s="6"/>
    </row>
    <row r="319" spans="2:15" x14ac:dyDescent="0.35">
      <c r="B319" s="6"/>
      <c r="O319" s="6"/>
    </row>
    <row r="320" spans="2:15" x14ac:dyDescent="0.35">
      <c r="B320" s="6"/>
      <c r="O320" s="6"/>
    </row>
    <row r="321" spans="2:15" x14ac:dyDescent="0.35">
      <c r="B321" s="6"/>
      <c r="O321" s="6"/>
    </row>
    <row r="322" spans="2:15" x14ac:dyDescent="0.35">
      <c r="B322" s="6"/>
      <c r="O322" s="6"/>
    </row>
    <row r="323" spans="2:15" x14ac:dyDescent="0.35">
      <c r="B323" s="6"/>
      <c r="O323" s="6"/>
    </row>
    <row r="324" spans="2:15" x14ac:dyDescent="0.35">
      <c r="B324" s="6"/>
      <c r="O324" s="6"/>
    </row>
    <row r="325" spans="2:15" x14ac:dyDescent="0.35">
      <c r="B325" s="6"/>
      <c r="O325" s="6"/>
    </row>
    <row r="326" spans="2:15" x14ac:dyDescent="0.35">
      <c r="B326" s="6"/>
      <c r="O326" s="6"/>
    </row>
    <row r="327" spans="2:15" x14ac:dyDescent="0.35">
      <c r="B327" s="6"/>
      <c r="O327" s="6"/>
    </row>
    <row r="328" spans="2:15" x14ac:dyDescent="0.35">
      <c r="B328" s="6"/>
      <c r="O328" s="6"/>
    </row>
    <row r="329" spans="2:15" x14ac:dyDescent="0.35">
      <c r="B329" s="6"/>
      <c r="O329" s="6"/>
    </row>
    <row r="330" spans="2:15" x14ac:dyDescent="0.35">
      <c r="B330" s="6"/>
      <c r="O330" s="6"/>
    </row>
    <row r="331" spans="2:15" x14ac:dyDescent="0.35">
      <c r="B331" s="6"/>
      <c r="O331" s="6"/>
    </row>
    <row r="332" spans="2:15" x14ac:dyDescent="0.35">
      <c r="B332" s="6"/>
      <c r="O332" s="6"/>
    </row>
    <row r="333" spans="2:15" x14ac:dyDescent="0.35">
      <c r="B333" s="6"/>
      <c r="O333" s="6"/>
    </row>
    <row r="334" spans="2:15" x14ac:dyDescent="0.35">
      <c r="B334" s="6"/>
      <c r="O334" s="6"/>
    </row>
    <row r="335" spans="2:15" x14ac:dyDescent="0.35">
      <c r="B335" s="6"/>
      <c r="O335" s="6"/>
    </row>
    <row r="336" spans="2:15" x14ac:dyDescent="0.35">
      <c r="B336" s="6"/>
      <c r="O336" s="6"/>
    </row>
    <row r="337" spans="2:15" x14ac:dyDescent="0.35">
      <c r="B337" s="6"/>
      <c r="O337" s="6"/>
    </row>
    <row r="338" spans="2:15" x14ac:dyDescent="0.35">
      <c r="B338" s="6"/>
      <c r="O338" s="6"/>
    </row>
    <row r="339" spans="2:15" x14ac:dyDescent="0.35">
      <c r="B339" s="6"/>
      <c r="O339" s="6"/>
    </row>
    <row r="340" spans="2:15" x14ac:dyDescent="0.35">
      <c r="B340" s="6"/>
      <c r="O340" s="6"/>
    </row>
    <row r="341" spans="2:15" x14ac:dyDescent="0.35">
      <c r="B341" s="6"/>
      <c r="O341" s="6"/>
    </row>
    <row r="342" spans="2:15" x14ac:dyDescent="0.35">
      <c r="B342" s="6"/>
      <c r="O342" s="6"/>
    </row>
    <row r="343" spans="2:15" x14ac:dyDescent="0.35">
      <c r="B343" s="6"/>
      <c r="O343" s="6"/>
    </row>
    <row r="344" spans="2:15" x14ac:dyDescent="0.35">
      <c r="B344" s="6"/>
      <c r="O344" s="6"/>
    </row>
    <row r="345" spans="2:15" x14ac:dyDescent="0.35">
      <c r="B345" s="6"/>
      <c r="O345" s="6"/>
    </row>
    <row r="346" spans="2:15" x14ac:dyDescent="0.35">
      <c r="B346" s="6"/>
      <c r="O346" s="6"/>
    </row>
    <row r="347" spans="2:15" x14ac:dyDescent="0.35">
      <c r="B347" s="6"/>
      <c r="O347" s="6"/>
    </row>
    <row r="348" spans="2:15" x14ac:dyDescent="0.35">
      <c r="B348" s="6"/>
      <c r="O348" s="6"/>
    </row>
    <row r="349" spans="2:15" x14ac:dyDescent="0.35">
      <c r="B349" s="6"/>
      <c r="O349" s="6"/>
    </row>
    <row r="350" spans="2:15" x14ac:dyDescent="0.35">
      <c r="B350" s="6"/>
      <c r="O350" s="6"/>
    </row>
    <row r="351" spans="2:15" x14ac:dyDescent="0.35">
      <c r="B351" s="6"/>
      <c r="O351" s="6"/>
    </row>
    <row r="352" spans="2:15" x14ac:dyDescent="0.35">
      <c r="B352" s="6"/>
      <c r="O352" s="6"/>
    </row>
    <row r="353" spans="2:15" x14ac:dyDescent="0.35">
      <c r="B353" s="6"/>
      <c r="O353" s="6"/>
    </row>
    <row r="354" spans="2:15" x14ac:dyDescent="0.35">
      <c r="B354" s="6"/>
      <c r="O354" s="6"/>
    </row>
    <row r="355" spans="2:15" x14ac:dyDescent="0.35">
      <c r="B355" s="6"/>
      <c r="O355" s="6"/>
    </row>
    <row r="356" spans="2:15" x14ac:dyDescent="0.35">
      <c r="B356" s="6"/>
      <c r="O356" s="6"/>
    </row>
    <row r="357" spans="2:15" x14ac:dyDescent="0.35">
      <c r="B357" s="6"/>
      <c r="O357" s="6"/>
    </row>
    <row r="358" spans="2:15" x14ac:dyDescent="0.35">
      <c r="B358" s="6"/>
      <c r="O358" s="6"/>
    </row>
    <row r="359" spans="2:15" x14ac:dyDescent="0.35">
      <c r="B359" s="6"/>
      <c r="O359" s="6"/>
    </row>
    <row r="360" spans="2:15" x14ac:dyDescent="0.35">
      <c r="B360" s="6"/>
      <c r="O360" s="6"/>
    </row>
    <row r="361" spans="2:15" x14ac:dyDescent="0.35">
      <c r="B361" s="6"/>
      <c r="O361" s="6"/>
    </row>
    <row r="362" spans="2:15" x14ac:dyDescent="0.35">
      <c r="B362" s="6"/>
      <c r="O362" s="6"/>
    </row>
    <row r="363" spans="2:15" x14ac:dyDescent="0.35">
      <c r="B363" s="6"/>
      <c r="O363" s="6"/>
    </row>
    <row r="364" spans="2:15" x14ac:dyDescent="0.35">
      <c r="B364" s="6"/>
      <c r="O364" s="6"/>
    </row>
    <row r="365" spans="2:15" x14ac:dyDescent="0.35">
      <c r="B365" s="6"/>
      <c r="O365" s="6"/>
    </row>
    <row r="366" spans="2:15" x14ac:dyDescent="0.35">
      <c r="B366" s="6"/>
      <c r="O366" s="6"/>
    </row>
    <row r="367" spans="2:15" x14ac:dyDescent="0.35">
      <c r="B367" s="6"/>
      <c r="O367" s="6"/>
    </row>
    <row r="368" spans="2:15" x14ac:dyDescent="0.35">
      <c r="B368" s="6"/>
      <c r="O368" s="6"/>
    </row>
    <row r="369" spans="2:15" x14ac:dyDescent="0.35">
      <c r="B369" s="6"/>
      <c r="O369" s="6"/>
    </row>
    <row r="370" spans="2:15" x14ac:dyDescent="0.35">
      <c r="B370" s="6"/>
      <c r="O370" s="6"/>
    </row>
    <row r="371" spans="2:15" x14ac:dyDescent="0.35">
      <c r="B371" s="6"/>
      <c r="O371" s="6"/>
    </row>
    <row r="372" spans="2:15" x14ac:dyDescent="0.35">
      <c r="B372" s="6"/>
      <c r="O372" s="6"/>
    </row>
    <row r="373" spans="2:15" x14ac:dyDescent="0.35">
      <c r="B373" s="6"/>
      <c r="O373" s="6"/>
    </row>
    <row r="374" spans="2:15" x14ac:dyDescent="0.35">
      <c r="B374" s="6"/>
      <c r="O374" s="6"/>
    </row>
    <row r="375" spans="2:15" x14ac:dyDescent="0.35">
      <c r="B375" s="6"/>
      <c r="O375" s="6"/>
    </row>
    <row r="376" spans="2:15" x14ac:dyDescent="0.35">
      <c r="B376" s="6"/>
      <c r="O376" s="6"/>
    </row>
    <row r="377" spans="2:15" x14ac:dyDescent="0.35">
      <c r="B377" s="6"/>
      <c r="O377" s="6"/>
    </row>
    <row r="378" spans="2:15" x14ac:dyDescent="0.35">
      <c r="B378" s="6"/>
      <c r="O378" s="6"/>
    </row>
    <row r="379" spans="2:15" x14ac:dyDescent="0.35">
      <c r="B379" s="6"/>
      <c r="O379" s="6"/>
    </row>
    <row r="380" spans="2:15" x14ac:dyDescent="0.35">
      <c r="B380" s="6"/>
      <c r="O380" s="6"/>
    </row>
    <row r="381" spans="2:15" x14ac:dyDescent="0.35">
      <c r="B381" s="6"/>
      <c r="O381" s="6"/>
    </row>
    <row r="382" spans="2:15" x14ac:dyDescent="0.35">
      <c r="B382" s="6"/>
      <c r="O382" s="6"/>
    </row>
    <row r="383" spans="2:15" x14ac:dyDescent="0.35">
      <c r="B383" s="6"/>
      <c r="O383" s="6"/>
    </row>
    <row r="384" spans="2:15" x14ac:dyDescent="0.35">
      <c r="B384" s="6"/>
      <c r="O384" s="6"/>
    </row>
    <row r="385" spans="2:15" x14ac:dyDescent="0.35">
      <c r="B385" s="6"/>
      <c r="O385" s="6"/>
    </row>
    <row r="386" spans="2:15" x14ac:dyDescent="0.35">
      <c r="B386" s="6"/>
      <c r="O386" s="6"/>
    </row>
    <row r="387" spans="2:15" x14ac:dyDescent="0.35">
      <c r="B387" s="6"/>
      <c r="O387" s="6"/>
    </row>
    <row r="388" spans="2:15" x14ac:dyDescent="0.35">
      <c r="B388" s="6"/>
      <c r="O388" s="6"/>
    </row>
    <row r="389" spans="2:15" x14ac:dyDescent="0.35">
      <c r="B389" s="6"/>
      <c r="O389" s="6"/>
    </row>
    <row r="390" spans="2:15" x14ac:dyDescent="0.35">
      <c r="B390" s="6"/>
      <c r="O390" s="6"/>
    </row>
    <row r="391" spans="2:15" x14ac:dyDescent="0.35">
      <c r="B391" s="6"/>
      <c r="O391" s="6"/>
    </row>
    <row r="392" spans="2:15" x14ac:dyDescent="0.35">
      <c r="B392" s="6"/>
      <c r="O392" s="6"/>
    </row>
    <row r="393" spans="2:15" x14ac:dyDescent="0.35">
      <c r="B393" s="6"/>
      <c r="O393" s="6"/>
    </row>
    <row r="394" spans="2:15" x14ac:dyDescent="0.35">
      <c r="B394" s="6"/>
      <c r="O394" s="6"/>
    </row>
    <row r="395" spans="2:15" x14ac:dyDescent="0.35">
      <c r="B395" s="6"/>
      <c r="O395" s="6"/>
    </row>
    <row r="396" spans="2:15" x14ac:dyDescent="0.35">
      <c r="B396" s="6"/>
      <c r="O396" s="6"/>
    </row>
    <row r="397" spans="2:15" x14ac:dyDescent="0.35">
      <c r="B397" s="6"/>
      <c r="O397" s="6"/>
    </row>
    <row r="398" spans="2:15" x14ac:dyDescent="0.35">
      <c r="B398" s="6"/>
      <c r="O398" s="6"/>
    </row>
    <row r="399" spans="2:15" x14ac:dyDescent="0.35">
      <c r="B399" s="6"/>
      <c r="O399" s="6"/>
    </row>
    <row r="400" spans="2:15" x14ac:dyDescent="0.35">
      <c r="B400" s="6"/>
      <c r="O400" s="6"/>
    </row>
    <row r="401" spans="2:15" x14ac:dyDescent="0.35">
      <c r="B401" s="6"/>
      <c r="O401" s="6"/>
    </row>
    <row r="402" spans="2:15" x14ac:dyDescent="0.35">
      <c r="B402" s="6"/>
      <c r="O402" s="6"/>
    </row>
    <row r="403" spans="2:15" x14ac:dyDescent="0.35">
      <c r="B403" s="6"/>
      <c r="O403" s="6"/>
    </row>
    <row r="404" spans="2:15" x14ac:dyDescent="0.35">
      <c r="B404" s="6"/>
      <c r="O404" s="6"/>
    </row>
    <row r="405" spans="2:15" x14ac:dyDescent="0.35">
      <c r="B405" s="6"/>
      <c r="O405" s="6"/>
    </row>
    <row r="406" spans="2:15" x14ac:dyDescent="0.35">
      <c r="B406" s="6"/>
      <c r="O406" s="6"/>
    </row>
    <row r="407" spans="2:15" x14ac:dyDescent="0.35">
      <c r="B407" s="6"/>
      <c r="O407" s="6"/>
    </row>
    <row r="408" spans="2:15" x14ac:dyDescent="0.35">
      <c r="B408" s="6"/>
      <c r="O408" s="6"/>
    </row>
    <row r="409" spans="2:15" x14ac:dyDescent="0.35">
      <c r="B409" s="6"/>
      <c r="O409" s="6"/>
    </row>
    <row r="410" spans="2:15" x14ac:dyDescent="0.35">
      <c r="B410" s="6"/>
      <c r="O410" s="6"/>
    </row>
    <row r="411" spans="2:15" x14ac:dyDescent="0.35">
      <c r="B411" s="6"/>
      <c r="O411" s="6"/>
    </row>
    <row r="412" spans="2:15" x14ac:dyDescent="0.35">
      <c r="B412" s="6"/>
      <c r="O412" s="6"/>
    </row>
    <row r="413" spans="2:15" x14ac:dyDescent="0.35">
      <c r="B413" s="6"/>
      <c r="O413" s="6"/>
    </row>
    <row r="414" spans="2:15" x14ac:dyDescent="0.35">
      <c r="B414" s="6"/>
      <c r="O414" s="6"/>
    </row>
    <row r="415" spans="2:15" x14ac:dyDescent="0.35">
      <c r="B415" s="6"/>
      <c r="O415" s="6"/>
    </row>
    <row r="416" spans="2:15" x14ac:dyDescent="0.35">
      <c r="B416" s="6"/>
      <c r="O416" s="6"/>
    </row>
    <row r="417" spans="2:15" x14ac:dyDescent="0.35">
      <c r="B417" s="6"/>
      <c r="O417" s="6"/>
    </row>
    <row r="418" spans="2:15" x14ac:dyDescent="0.35">
      <c r="B418" s="6"/>
      <c r="O418" s="6"/>
    </row>
    <row r="419" spans="2:15" x14ac:dyDescent="0.35">
      <c r="B419" s="6"/>
      <c r="O419" s="6"/>
    </row>
    <row r="420" spans="2:15" x14ac:dyDescent="0.35">
      <c r="B420" s="6"/>
      <c r="O420" s="6"/>
    </row>
    <row r="421" spans="2:15" x14ac:dyDescent="0.35">
      <c r="B421" s="6"/>
      <c r="O421" s="6"/>
    </row>
    <row r="422" spans="2:15" x14ac:dyDescent="0.35">
      <c r="B422" s="6"/>
      <c r="O422" s="6"/>
    </row>
    <row r="423" spans="2:15" x14ac:dyDescent="0.35">
      <c r="B423" s="6"/>
      <c r="O423" s="6"/>
    </row>
    <row r="424" spans="2:15" x14ac:dyDescent="0.35">
      <c r="B424" s="6"/>
      <c r="O424" s="6"/>
    </row>
    <row r="425" spans="2:15" x14ac:dyDescent="0.35">
      <c r="B425" s="6"/>
      <c r="O425" s="6"/>
    </row>
    <row r="426" spans="2:15" x14ac:dyDescent="0.35">
      <c r="B426" s="6"/>
      <c r="O426" s="6"/>
    </row>
    <row r="427" spans="2:15" x14ac:dyDescent="0.35">
      <c r="B427" s="6"/>
      <c r="O427" s="6"/>
    </row>
    <row r="428" spans="2:15" x14ac:dyDescent="0.35">
      <c r="B428" s="6"/>
      <c r="O428" s="6"/>
    </row>
    <row r="429" spans="2:15" x14ac:dyDescent="0.35">
      <c r="B429" s="6"/>
      <c r="O429" s="6"/>
    </row>
    <row r="430" spans="2:15" x14ac:dyDescent="0.35">
      <c r="B430" s="6"/>
      <c r="O430" s="6"/>
    </row>
    <row r="431" spans="2:15" x14ac:dyDescent="0.35">
      <c r="B431" s="6"/>
      <c r="O431" s="6"/>
    </row>
    <row r="432" spans="2:15" x14ac:dyDescent="0.35">
      <c r="B432" s="6"/>
      <c r="O432" s="6"/>
    </row>
    <row r="433" spans="2:15" x14ac:dyDescent="0.35">
      <c r="B433" s="6"/>
      <c r="O433" s="6"/>
    </row>
    <row r="434" spans="2:15" x14ac:dyDescent="0.35">
      <c r="B434" s="6"/>
      <c r="O434" s="6"/>
    </row>
    <row r="435" spans="2:15" x14ac:dyDescent="0.35">
      <c r="B435" s="6"/>
      <c r="O435" s="6"/>
    </row>
    <row r="436" spans="2:15" x14ac:dyDescent="0.35">
      <c r="B436" s="6"/>
      <c r="O436" s="6"/>
    </row>
    <row r="437" spans="2:15" x14ac:dyDescent="0.35">
      <c r="B437" s="6"/>
      <c r="O437" s="6"/>
    </row>
    <row r="438" spans="2:15" x14ac:dyDescent="0.35">
      <c r="B438" s="6"/>
      <c r="O438" s="6"/>
    </row>
    <row r="439" spans="2:15" x14ac:dyDescent="0.35">
      <c r="B439" s="6"/>
      <c r="O439" s="6"/>
    </row>
    <row r="440" spans="2:15" x14ac:dyDescent="0.35">
      <c r="B440" s="6"/>
      <c r="O440" s="6"/>
    </row>
    <row r="441" spans="2:15" x14ac:dyDescent="0.35">
      <c r="B441" s="6"/>
      <c r="O441" s="6"/>
    </row>
    <row r="442" spans="2:15" x14ac:dyDescent="0.35">
      <c r="B442" s="6"/>
      <c r="O442" s="6"/>
    </row>
    <row r="443" spans="2:15" x14ac:dyDescent="0.35">
      <c r="B443" s="6"/>
      <c r="O443" s="6"/>
    </row>
    <row r="444" spans="2:15" x14ac:dyDescent="0.35">
      <c r="B444" s="6"/>
      <c r="O444" s="6"/>
    </row>
    <row r="445" spans="2:15" x14ac:dyDescent="0.35">
      <c r="B445" s="6"/>
      <c r="O445" s="6"/>
    </row>
    <row r="446" spans="2:15" x14ac:dyDescent="0.35">
      <c r="B446" s="6"/>
      <c r="O446" s="6"/>
    </row>
    <row r="447" spans="2:15" x14ac:dyDescent="0.35">
      <c r="B447" s="6"/>
      <c r="O447" s="6"/>
    </row>
    <row r="448" spans="2:15" x14ac:dyDescent="0.35">
      <c r="B448" s="6"/>
      <c r="O448" s="6"/>
    </row>
    <row r="449" spans="2:15" x14ac:dyDescent="0.35">
      <c r="B449" s="6"/>
      <c r="O449" s="6"/>
    </row>
    <row r="450" spans="2:15" x14ac:dyDescent="0.35">
      <c r="B450" s="6"/>
      <c r="O450" s="6"/>
    </row>
    <row r="451" spans="2:15" x14ac:dyDescent="0.35">
      <c r="B451" s="6"/>
      <c r="O451" s="6"/>
    </row>
    <row r="452" spans="2:15" x14ac:dyDescent="0.35">
      <c r="B452" s="6"/>
      <c r="O452" s="6"/>
    </row>
    <row r="453" spans="2:15" x14ac:dyDescent="0.35">
      <c r="B453" s="6"/>
      <c r="O453" s="6"/>
    </row>
    <row r="454" spans="2:15" x14ac:dyDescent="0.35">
      <c r="B454" s="6"/>
      <c r="O454" s="6"/>
    </row>
    <row r="455" spans="2:15" x14ac:dyDescent="0.35">
      <c r="B455" s="6"/>
      <c r="O455" s="6"/>
    </row>
    <row r="456" spans="2:15" x14ac:dyDescent="0.35">
      <c r="B456" s="6"/>
      <c r="O456" s="6"/>
    </row>
    <row r="457" spans="2:15" x14ac:dyDescent="0.35">
      <c r="B457" s="6"/>
      <c r="O457" s="6"/>
    </row>
    <row r="458" spans="2:15" x14ac:dyDescent="0.35">
      <c r="B458" s="6"/>
      <c r="O458" s="6"/>
    </row>
    <row r="459" spans="2:15" x14ac:dyDescent="0.35">
      <c r="B459" s="6"/>
      <c r="O459" s="6"/>
    </row>
    <row r="460" spans="2:15" x14ac:dyDescent="0.35">
      <c r="B460" s="6"/>
      <c r="O460" s="6"/>
    </row>
    <row r="461" spans="2:15" x14ac:dyDescent="0.35">
      <c r="B461" s="6"/>
      <c r="O461" s="6"/>
    </row>
    <row r="462" spans="2:15" x14ac:dyDescent="0.35">
      <c r="B462" s="6"/>
      <c r="O462" s="6"/>
    </row>
    <row r="463" spans="2:15" x14ac:dyDescent="0.35">
      <c r="B463" s="6"/>
      <c r="O463" s="6"/>
    </row>
    <row r="464" spans="2:15" x14ac:dyDescent="0.35">
      <c r="B464" s="6"/>
      <c r="O464" s="6"/>
    </row>
    <row r="465" spans="2:15" x14ac:dyDescent="0.35">
      <c r="B465" s="6"/>
      <c r="O465" s="6"/>
    </row>
    <row r="466" spans="2:15" x14ac:dyDescent="0.35">
      <c r="B466" s="6"/>
      <c r="O466" s="6"/>
    </row>
    <row r="467" spans="2:15" x14ac:dyDescent="0.35">
      <c r="B467" s="6"/>
      <c r="O467" s="6"/>
    </row>
    <row r="468" spans="2:15" x14ac:dyDescent="0.35">
      <c r="B468" s="6"/>
      <c r="O468" s="6"/>
    </row>
    <row r="469" spans="2:15" x14ac:dyDescent="0.35">
      <c r="B469" s="6"/>
      <c r="O469" s="6"/>
    </row>
    <row r="470" spans="2:15" x14ac:dyDescent="0.35">
      <c r="B470" s="6"/>
      <c r="O470" s="6"/>
    </row>
    <row r="471" spans="2:15" x14ac:dyDescent="0.35">
      <c r="B471" s="6"/>
      <c r="O471" s="6"/>
    </row>
    <row r="472" spans="2:15" x14ac:dyDescent="0.35">
      <c r="B472" s="6"/>
      <c r="O472" s="6"/>
    </row>
    <row r="473" spans="2:15" x14ac:dyDescent="0.35">
      <c r="B473" s="6"/>
      <c r="O473" s="6"/>
    </row>
    <row r="474" spans="2:15" x14ac:dyDescent="0.35">
      <c r="B474" s="6"/>
      <c r="O474" s="6"/>
    </row>
    <row r="475" spans="2:15" x14ac:dyDescent="0.35">
      <c r="B475" s="6"/>
      <c r="O475" s="6"/>
    </row>
    <row r="476" spans="2:15" x14ac:dyDescent="0.35">
      <c r="B476" s="6"/>
      <c r="O476" s="6"/>
    </row>
    <row r="477" spans="2:15" x14ac:dyDescent="0.35">
      <c r="B477" s="6"/>
      <c r="O477" s="6"/>
    </row>
    <row r="478" spans="2:15" x14ac:dyDescent="0.35">
      <c r="B478" s="6"/>
      <c r="O478" s="6"/>
    </row>
    <row r="479" spans="2:15" x14ac:dyDescent="0.35">
      <c r="B479" s="6"/>
      <c r="O479" s="6"/>
    </row>
    <row r="480" spans="2:15" x14ac:dyDescent="0.35">
      <c r="B480" s="6"/>
      <c r="O480" s="6"/>
    </row>
    <row r="481" spans="2:15" x14ac:dyDescent="0.35">
      <c r="B481" s="6"/>
      <c r="O481" s="6"/>
    </row>
    <row r="482" spans="2:15" x14ac:dyDescent="0.35">
      <c r="B482" s="6"/>
      <c r="O482" s="6"/>
    </row>
    <row r="483" spans="2:15" x14ac:dyDescent="0.35">
      <c r="B483" s="6"/>
      <c r="O483" s="6"/>
    </row>
    <row r="484" spans="2:15" x14ac:dyDescent="0.35">
      <c r="B484" s="6"/>
      <c r="O484" s="6"/>
    </row>
    <row r="485" spans="2:15" x14ac:dyDescent="0.35">
      <c r="B485" s="6"/>
      <c r="O485" s="6"/>
    </row>
    <row r="486" spans="2:15" x14ac:dyDescent="0.35">
      <c r="B486" s="6"/>
      <c r="O486" s="6"/>
    </row>
    <row r="487" spans="2:15" x14ac:dyDescent="0.35">
      <c r="B487" s="6"/>
      <c r="O487" s="6"/>
    </row>
    <row r="488" spans="2:15" x14ac:dyDescent="0.35">
      <c r="B488" s="6"/>
      <c r="O488" s="6"/>
    </row>
    <row r="489" spans="2:15" x14ac:dyDescent="0.35">
      <c r="B489" s="6"/>
      <c r="O489" s="6"/>
    </row>
    <row r="490" spans="2:15" x14ac:dyDescent="0.35">
      <c r="B490" s="6"/>
      <c r="O490" s="6"/>
    </row>
    <row r="491" spans="2:15" x14ac:dyDescent="0.35">
      <c r="B491" s="6"/>
      <c r="O491" s="6"/>
    </row>
    <row r="492" spans="2:15" x14ac:dyDescent="0.35">
      <c r="B492" s="6"/>
      <c r="O492" s="6"/>
    </row>
    <row r="493" spans="2:15" x14ac:dyDescent="0.35">
      <c r="B493" s="6"/>
      <c r="O493" s="6"/>
    </row>
    <row r="494" spans="2:15" x14ac:dyDescent="0.35">
      <c r="B494" s="6"/>
      <c r="O494" s="6"/>
    </row>
    <row r="495" spans="2:15" x14ac:dyDescent="0.35">
      <c r="B495" s="6"/>
      <c r="O495" s="6"/>
    </row>
    <row r="496" spans="2:15" x14ac:dyDescent="0.35">
      <c r="B496" s="6"/>
      <c r="O496" s="6"/>
    </row>
    <row r="497" spans="2:15" x14ac:dyDescent="0.35">
      <c r="B497" s="6"/>
      <c r="O497" s="6"/>
    </row>
    <row r="498" spans="2:15" x14ac:dyDescent="0.35">
      <c r="B498" s="6"/>
      <c r="O498" s="6"/>
    </row>
    <row r="499" spans="2:15" x14ac:dyDescent="0.35">
      <c r="B499" s="6"/>
      <c r="O499" s="6"/>
    </row>
    <row r="500" spans="2:15" x14ac:dyDescent="0.35">
      <c r="B500" s="6"/>
      <c r="O500" s="6"/>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44BE6-B870-444B-BBFB-A139B55F56F7}">
  <sheetPr codeName="Sheet1"/>
  <dimension ref="A1:K9"/>
  <sheetViews>
    <sheetView showGridLines="0" tabSelected="1" zoomScale="91" zoomScaleNormal="86" workbookViewId="0">
      <selection activeCell="J25" sqref="J25"/>
    </sheetView>
  </sheetViews>
  <sheetFormatPr defaultRowHeight="14.5" x14ac:dyDescent="0.35"/>
  <cols>
    <col min="1" max="1" width="21.7265625" style="10" customWidth="1"/>
    <col min="2" max="2" width="16.90625" style="10" customWidth="1"/>
    <col min="3" max="3" width="2.54296875" style="10" customWidth="1"/>
    <col min="4" max="4" width="20.36328125" style="10" customWidth="1"/>
    <col min="5" max="5" width="17.36328125" style="10" customWidth="1"/>
    <col min="6" max="6" width="2.90625" style="10" customWidth="1"/>
    <col min="7" max="7" width="22.08984375" style="10" customWidth="1"/>
    <col min="8" max="8" width="23.453125" style="10" customWidth="1"/>
    <col min="9" max="9" width="2.81640625" style="10" customWidth="1"/>
    <col min="10" max="10" width="28" style="10" customWidth="1"/>
    <col min="11" max="11" width="26.1796875" style="10" customWidth="1"/>
    <col min="12" max="16384" width="8.7265625" style="10"/>
  </cols>
  <sheetData>
    <row r="1" spans="1:11" ht="37.5" customHeight="1" x14ac:dyDescent="0.55000000000000004">
      <c r="A1" s="13" t="s">
        <v>211</v>
      </c>
      <c r="B1" s="13"/>
      <c r="C1" s="13"/>
      <c r="D1" s="13"/>
      <c r="E1" s="13"/>
      <c r="F1" s="13"/>
      <c r="G1" s="13"/>
      <c r="H1" s="13"/>
      <c r="I1" s="13"/>
      <c r="J1" s="13"/>
      <c r="K1" s="13"/>
    </row>
    <row r="2" spans="1:11" s="12" customFormat="1" ht="31" customHeight="1" x14ac:dyDescent="0.35">
      <c r="A2" s="11" t="b">
        <v>1</v>
      </c>
      <c r="B2" s="11"/>
      <c r="C2" s="11"/>
      <c r="D2" s="11" t="b">
        <v>1</v>
      </c>
      <c r="E2" s="11"/>
      <c r="F2" s="11"/>
      <c r="G2" s="11" t="b">
        <v>1</v>
      </c>
      <c r="H2" s="11"/>
      <c r="I2" s="11"/>
      <c r="J2" s="11" t="b">
        <v>1</v>
      </c>
    </row>
    <row r="3" spans="1:11" ht="88" customHeight="1" x14ac:dyDescent="0.35"/>
    <row r="4" spans="1:11" x14ac:dyDescent="0.35">
      <c r="A4" s="4" t="s">
        <v>1</v>
      </c>
      <c r="B4" t="s">
        <v>162</v>
      </c>
      <c r="D4" s="4" t="s">
        <v>1</v>
      </c>
      <c r="E4" t="s">
        <v>162</v>
      </c>
      <c r="G4" s="4" t="s">
        <v>1</v>
      </c>
      <c r="H4" t="s">
        <v>209</v>
      </c>
      <c r="J4" s="4" t="s">
        <v>161</v>
      </c>
      <c r="K4" t="s">
        <v>210</v>
      </c>
    </row>
    <row r="5" spans="1:11" x14ac:dyDescent="0.35">
      <c r="A5" s="5" t="s">
        <v>185</v>
      </c>
      <c r="B5" s="14">
        <v>296</v>
      </c>
      <c r="D5" s="5" t="s">
        <v>163</v>
      </c>
      <c r="E5" s="14">
        <v>173</v>
      </c>
      <c r="G5" s="5" t="s">
        <v>202</v>
      </c>
      <c r="H5" s="1">
        <v>1.214</v>
      </c>
      <c r="J5" s="5" t="s">
        <v>204</v>
      </c>
      <c r="K5" s="1">
        <v>0.59799999999999998</v>
      </c>
    </row>
    <row r="6" spans="1:11" x14ac:dyDescent="0.35">
      <c r="A6" s="5" t="s">
        <v>186</v>
      </c>
      <c r="B6" s="14">
        <v>298</v>
      </c>
      <c r="D6" s="5" t="s">
        <v>171</v>
      </c>
      <c r="E6" s="14">
        <v>181</v>
      </c>
      <c r="G6" s="5" t="s">
        <v>199</v>
      </c>
      <c r="H6" s="1">
        <v>0.92894736842105263</v>
      </c>
      <c r="J6" s="5" t="s">
        <v>202</v>
      </c>
      <c r="K6" s="1">
        <v>0.78600000000000003</v>
      </c>
    </row>
    <row r="7" spans="1:11" x14ac:dyDescent="0.35">
      <c r="A7" s="5" t="s">
        <v>198</v>
      </c>
      <c r="B7" s="14">
        <v>464</v>
      </c>
      <c r="D7" s="5" t="s">
        <v>179</v>
      </c>
      <c r="E7" s="14">
        <v>120</v>
      </c>
      <c r="G7" s="5" t="s">
        <v>185</v>
      </c>
      <c r="H7" s="1">
        <v>0.68</v>
      </c>
      <c r="J7" s="5" t="s">
        <v>199</v>
      </c>
      <c r="K7" s="1">
        <v>1.0710526315789473</v>
      </c>
    </row>
    <row r="8" spans="1:11" x14ac:dyDescent="0.35">
      <c r="A8" s="5" t="s">
        <v>199</v>
      </c>
      <c r="B8" s="14">
        <v>310</v>
      </c>
      <c r="D8" s="5" t="s">
        <v>203</v>
      </c>
      <c r="E8" s="14">
        <v>184</v>
      </c>
      <c r="G8" s="5" t="s">
        <v>198</v>
      </c>
      <c r="H8" s="1">
        <v>1.2884210526315789</v>
      </c>
      <c r="J8" s="5" t="s">
        <v>179</v>
      </c>
      <c r="K8" s="1">
        <v>0.63800000000000001</v>
      </c>
    </row>
    <row r="9" spans="1:11" x14ac:dyDescent="0.35">
      <c r="A9" s="5" t="s">
        <v>202</v>
      </c>
      <c r="B9" s="14">
        <v>556</v>
      </c>
      <c r="D9" s="5" t="s">
        <v>204</v>
      </c>
      <c r="E9" s="14">
        <v>149</v>
      </c>
      <c r="G9" s="5" t="s">
        <v>186</v>
      </c>
      <c r="H9" s="1">
        <v>0.65904761904761899</v>
      </c>
      <c r="J9" s="5" t="s">
        <v>198</v>
      </c>
      <c r="K9" s="1">
        <v>0.71157894736842109</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533400</xdr:colOff>
                    <xdr:row>2</xdr:row>
                    <xdr:rowOff>673100</xdr:rowOff>
                  </from>
                  <to>
                    <xdr:col>1</xdr:col>
                    <xdr:colOff>304800</xdr:colOff>
                    <xdr:row>2</xdr:row>
                    <xdr:rowOff>914400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ltText="m_x000d__x000a__x000d__x000a_">
                <anchor moveWithCells="1">
                  <from>
                    <xdr:col>3</xdr:col>
                    <xdr:colOff>527050</xdr:colOff>
                    <xdr:row>2</xdr:row>
                    <xdr:rowOff>647700</xdr:rowOff>
                  </from>
                  <to>
                    <xdr:col>4</xdr:col>
                    <xdr:colOff>368300</xdr:colOff>
                    <xdr:row>2</xdr:row>
                    <xdr:rowOff>946150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6</xdr:col>
                    <xdr:colOff>596900</xdr:colOff>
                    <xdr:row>2</xdr:row>
                    <xdr:rowOff>660400</xdr:rowOff>
                  </from>
                  <to>
                    <xdr:col>7</xdr:col>
                    <xdr:colOff>342900</xdr:colOff>
                    <xdr:row>2</xdr:row>
                    <xdr:rowOff>895350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ltText="m_x000d__x000a__x000d__x000a_">
                <anchor moveWithCells="1">
                  <from>
                    <xdr:col>9</xdr:col>
                    <xdr:colOff>787400</xdr:colOff>
                    <xdr:row>2</xdr:row>
                    <xdr:rowOff>673100</xdr:rowOff>
                  </from>
                  <to>
                    <xdr:col>10</xdr:col>
                    <xdr:colOff>127000</xdr:colOff>
                    <xdr:row>2</xdr:row>
                    <xdr:rowOff>914400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B959AA8FA41FF4F92A2CE3A4BA0AC14" ma:contentTypeVersion="5" ma:contentTypeDescription="Create a new document." ma:contentTypeScope="" ma:versionID="8cae6df200041cfa291de39358dc1f98">
  <xsd:schema xmlns:xsd="http://www.w3.org/2001/XMLSchema" xmlns:xs="http://www.w3.org/2001/XMLSchema" xmlns:p="http://schemas.microsoft.com/office/2006/metadata/properties" xmlns:ns3="47e1bef6-157a-40ea-8858-2f4adbd0cd39" targetNamespace="http://schemas.microsoft.com/office/2006/metadata/properties" ma:root="true" ma:fieldsID="1b07eeec20f3db8d468a442fc09c0e52" ns3:_="">
    <xsd:import namespace="47e1bef6-157a-40ea-8858-2f4adbd0cd39"/>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e1bef6-157a-40ea-8858-2f4adbd0cd39"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84406F8-CFA6-4660-A9BA-0B3C1725B8B9}">
  <ds:schemaRefs>
    <ds:schemaRef ds:uri="http://schemas.microsoft.com/sharepoint/v3/contenttype/forms"/>
  </ds:schemaRefs>
</ds:datastoreItem>
</file>

<file path=customXml/itemProps2.xml><?xml version="1.0" encoding="utf-8"?>
<ds:datastoreItem xmlns:ds="http://schemas.openxmlformats.org/officeDocument/2006/customXml" ds:itemID="{1C988182-8E73-4F57-9DDD-7DAAFDDFFBA1}">
  <ds:schemaRefs>
    <ds:schemaRef ds:uri="http://schemas.microsoft.com/office/infopath/2007/PartnerControls"/>
    <ds:schemaRef ds:uri="47e1bef6-157a-40ea-8858-2f4adbd0cd39"/>
    <ds:schemaRef ds:uri="http://www.w3.org/XML/1998/namespace"/>
    <ds:schemaRef ds:uri="http://schemas.microsoft.com/office/2006/metadata/properties"/>
    <ds:schemaRef ds:uri="http://purl.org/dc/dcmitype/"/>
    <ds:schemaRef ds:uri="http://schemas.microsoft.com/office/2006/documentManagement/types"/>
    <ds:schemaRef ds:uri="http://purl.org/dc/elements/1.1/"/>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67ACED36-6E3B-4FFC-968C-9C2AB25F41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e1bef6-157a-40ea-8858-2f4adbd0cd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01-135242-019</cp:lastModifiedBy>
  <dcterms:created xsi:type="dcterms:W3CDTF">2026-08-04T19:02:37Z</dcterms:created>
  <dcterms:modified xsi:type="dcterms:W3CDTF">2026-08-17T11:36:05Z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0x0101007B959AA8FA41FF4F92A2CE3A4BA0AC14</vt:lpwstr>
  </property>
</Properties>
</file>